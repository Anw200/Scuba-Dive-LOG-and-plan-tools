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29cfff91b9faa0/scuba/Planning/"/>
    </mc:Choice>
  </mc:AlternateContent>
  <xr:revisionPtr revIDLastSave="63" documentId="8_{F8C85B9F-9623-4F7B-9B62-3C5660FC1174}" xr6:coauthVersionLast="47" xr6:coauthVersionMax="47" xr10:uidLastSave="{C27DDF1B-4D05-4CA6-81D1-4733014200A5}"/>
  <bookViews>
    <workbookView xWindow="-120" yWindow="-120" windowWidth="29040" windowHeight="15840" xr2:uid="{DD4D8EE6-AECF-42AD-BA8E-6A675C8D9BD0}"/>
  </bookViews>
  <sheets>
    <sheet name="Print log" sheetId="1" r:id="rId1"/>
    <sheet name="NAUI Tables" sheetId="2" r:id="rId2"/>
  </sheets>
  <definedNames>
    <definedName name="_xlnm.Print_Area" localSheetId="1">'NAUI Tables'!$A$1:$Z$41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P13" i="1" l="1"/>
  <c r="AP12" i="1"/>
  <c r="AP11" i="1"/>
  <c r="AP10" i="1"/>
  <c r="AP9" i="1"/>
  <c r="AP8" i="1"/>
  <c r="AP7" i="1"/>
  <c r="AP6" i="1"/>
  <c r="AP5" i="1"/>
  <c r="AP4" i="1"/>
  <c r="AP3" i="1"/>
  <c r="AR1" i="1"/>
  <c r="AS1" i="1" s="1"/>
  <c r="AT1" i="1" s="1"/>
  <c r="Q1" i="1"/>
  <c r="R1" i="1" s="1"/>
  <c r="S1" i="1" s="1"/>
  <c r="O4" i="1"/>
  <c r="O5" i="1"/>
  <c r="O6" i="1"/>
  <c r="O7" i="1"/>
  <c r="O8" i="1"/>
  <c r="O9" i="1"/>
  <c r="O10" i="1"/>
  <c r="O11" i="1"/>
  <c r="O12" i="1"/>
  <c r="O13" i="1"/>
  <c r="O3" i="1"/>
</calcChain>
</file>

<file path=xl/sharedStrings.xml><?xml version="1.0" encoding="utf-8"?>
<sst xmlns="http://schemas.openxmlformats.org/spreadsheetml/2006/main" count="295" uniqueCount="99">
  <si>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</si>
  <si>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</si>
  <si>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</si>
  <si>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</si>
  <si>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</si>
  <si>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</si>
  <si>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</si>
  <si>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</si>
  <si>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</si>
  <si>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</si>
  <si>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</si>
  <si>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</si>
  <si>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FT</t>
  </si>
  <si>
    <t>Depth</t>
  </si>
  <si>
    <t>End of Dive group</t>
  </si>
  <si>
    <t>LOG No</t>
  </si>
  <si>
    <t>New
Group</t>
  </si>
  <si>
    <t>AVOID REPETITIVE DIVES OVER 100' (30m)</t>
  </si>
  <si>
    <t>M</t>
  </si>
  <si>
    <t>00</t>
  </si>
  <si>
    <t>DIVE TIME REQUIRING DECOMPRESSION</t>
  </si>
  <si>
    <t>TABLE 1: END-OF-DIVE LETTER GROUP</t>
  </si>
  <si>
    <t>NO. MINUTES REQUIRED AT 15' (5M) STOP</t>
  </si>
  <si>
    <r>
      <rPr>
        <b/>
        <sz val="8"/>
        <color rgb="FFFF0000"/>
        <rFont val="Aptos Narrow"/>
        <family val="2"/>
        <scheme val="minor"/>
      </rPr>
      <t>00</t>
    </r>
    <r>
      <rPr>
        <b/>
        <sz val="8"/>
        <color theme="1"/>
        <rFont val="Aptos Narrow"/>
        <family val="2"/>
        <scheme val="minor"/>
      </rPr>
      <t>/00</t>
    </r>
  </si>
  <si>
    <t>MAXIMUM DIVE</t>
  </si>
  <si>
    <t>TIME (MDT)</t>
  </si>
  <si>
    <r>
      <rPr>
        <sz val="8"/>
        <color rgb="FFFF0000"/>
        <rFont val="Aptos"/>
        <family val="2"/>
      </rPr>
      <t>150</t>
    </r>
    <r>
      <rPr>
        <sz val="8"/>
        <rFont val="Aptos"/>
        <family val="2"/>
      </rPr>
      <t>/5</t>
    </r>
  </si>
  <si>
    <r>
      <rPr>
        <sz val="8"/>
        <color rgb="FFFF0000"/>
        <rFont val="Aptos"/>
        <family val="2"/>
      </rPr>
      <t>100</t>
    </r>
    <r>
      <rPr>
        <sz val="8"/>
        <rFont val="Aptos"/>
        <family val="2"/>
      </rPr>
      <t>/5</t>
    </r>
  </si>
  <si>
    <r>
      <rPr>
        <sz val="8"/>
        <color rgb="FFFF0000"/>
        <rFont val="Aptos"/>
        <family val="2"/>
      </rPr>
      <t>80</t>
    </r>
    <r>
      <rPr>
        <sz val="8"/>
        <rFont val="Aptos"/>
        <family val="2"/>
      </rPr>
      <t>/7</t>
    </r>
  </si>
  <si>
    <r>
      <rPr>
        <sz val="8"/>
        <color rgb="FFFF0000"/>
        <rFont val="Aptos"/>
        <family val="2"/>
      </rPr>
      <t>70</t>
    </r>
    <r>
      <rPr>
        <sz val="8"/>
        <rFont val="Aptos"/>
        <family val="2"/>
      </rPr>
      <t>/14</t>
    </r>
  </si>
  <si>
    <r>
      <rPr>
        <sz val="8"/>
        <color rgb="FFFF0000"/>
        <rFont val="Aptos"/>
        <family val="2"/>
      </rPr>
      <t>60</t>
    </r>
    <r>
      <rPr>
        <sz val="8"/>
        <rFont val="Aptos"/>
        <family val="2"/>
      </rPr>
      <t>/17</t>
    </r>
  </si>
  <si>
    <r>
      <rPr>
        <sz val="8"/>
        <color rgb="FFFF0000"/>
        <rFont val="Aptos"/>
        <family val="2"/>
      </rPr>
      <t>50</t>
    </r>
    <r>
      <rPr>
        <sz val="8"/>
        <rFont val="Aptos"/>
        <family val="2"/>
      </rPr>
      <t>/18</t>
    </r>
  </si>
  <si>
    <r>
      <rPr>
        <sz val="8"/>
        <color rgb="FFFF0000"/>
        <rFont val="Aptos"/>
        <family val="2"/>
      </rPr>
      <t>60</t>
    </r>
    <r>
      <rPr>
        <sz val="8"/>
        <rFont val="Aptos"/>
        <family val="2"/>
      </rPr>
      <t>/8</t>
    </r>
  </si>
  <si>
    <r>
      <rPr>
        <sz val="8"/>
        <color rgb="FFFF0000"/>
        <rFont val="Aptos"/>
        <family val="2"/>
      </rPr>
      <t>50</t>
    </r>
    <r>
      <rPr>
        <sz val="8"/>
        <rFont val="Aptos"/>
        <family val="2"/>
      </rPr>
      <t>/10</t>
    </r>
  </si>
  <si>
    <r>
      <rPr>
        <sz val="8"/>
        <color rgb="FFFF0000"/>
        <rFont val="Aptos"/>
        <family val="2"/>
      </rPr>
      <t>40</t>
    </r>
    <r>
      <rPr>
        <sz val="8"/>
        <rFont val="Aptos"/>
        <family val="2"/>
      </rPr>
      <t>/15</t>
    </r>
  </si>
  <si>
    <r>
      <rPr>
        <sz val="8"/>
        <color rgb="FFFF0000"/>
        <rFont val="Aptos"/>
        <family val="2"/>
      </rPr>
      <t>50</t>
    </r>
    <r>
      <rPr>
        <sz val="8"/>
        <rFont val="Aptos"/>
        <family val="2"/>
      </rPr>
      <t>/5</t>
    </r>
  </si>
  <si>
    <r>
      <rPr>
        <sz val="8"/>
        <color rgb="FFFF0000"/>
        <rFont val="Aptos"/>
        <family val="2"/>
      </rPr>
      <t>40</t>
    </r>
    <r>
      <rPr>
        <sz val="8"/>
        <rFont val="Aptos"/>
        <family val="2"/>
      </rPr>
      <t>/7</t>
    </r>
  </si>
  <si>
    <r>
      <rPr>
        <sz val="8"/>
        <color rgb="FFFF0000"/>
        <rFont val="Aptos"/>
        <family val="2"/>
      </rPr>
      <t>30</t>
    </r>
    <r>
      <rPr>
        <sz val="8"/>
        <rFont val="Aptos"/>
        <family val="2"/>
      </rPr>
      <t>/7</t>
    </r>
  </si>
  <si>
    <r>
      <rPr>
        <sz val="8"/>
        <color rgb="FFFF0000"/>
        <rFont val="Aptos"/>
        <family val="2"/>
      </rPr>
      <t>30</t>
    </r>
    <r>
      <rPr>
        <sz val="8"/>
        <rFont val="Aptos"/>
        <family val="2"/>
      </rPr>
      <t>/14</t>
    </r>
  </si>
  <si>
    <r>
      <rPr>
        <sz val="8"/>
        <color rgb="FFFF0000"/>
        <rFont val="Aptos"/>
        <family val="2"/>
      </rPr>
      <t>25</t>
    </r>
    <r>
      <rPr>
        <sz val="8"/>
        <rFont val="Aptos"/>
        <family val="2"/>
      </rPr>
      <t>/10</t>
    </r>
  </si>
  <si>
    <r>
      <rPr>
        <sz val="8"/>
        <color rgb="FFFF0000"/>
        <rFont val="Aptos"/>
        <family val="2"/>
      </rPr>
      <t>40</t>
    </r>
    <r>
      <rPr>
        <sz val="8"/>
        <rFont val="Aptos"/>
        <family val="2"/>
      </rPr>
      <t>/5</t>
    </r>
  </si>
  <si>
    <r>
      <rPr>
        <sz val="8"/>
        <color rgb="FFFF0000"/>
        <rFont val="Aptos"/>
        <family val="2"/>
      </rPr>
      <t>25</t>
    </r>
    <r>
      <rPr>
        <sz val="8"/>
        <rFont val="Aptos"/>
        <family val="2"/>
      </rPr>
      <t>/6</t>
    </r>
  </si>
  <si>
    <r>
      <rPr>
        <sz val="8"/>
        <color rgb="FFFF0000"/>
        <rFont val="Aptos"/>
        <family val="2"/>
      </rPr>
      <t>30</t>
    </r>
    <r>
      <rPr>
        <sz val="8"/>
        <rFont val="Aptos"/>
        <family val="2"/>
      </rPr>
      <t>/5</t>
    </r>
  </si>
  <si>
    <r>
      <rPr>
        <sz val="8"/>
        <color rgb="FFFF0000"/>
        <rFont val="Aptos"/>
        <family val="2"/>
      </rPr>
      <t>25</t>
    </r>
    <r>
      <rPr>
        <sz val="8"/>
        <rFont val="Aptos"/>
        <family val="2"/>
      </rPr>
      <t>/5</t>
    </r>
  </si>
  <si>
    <r>
      <rPr>
        <sz val="8"/>
        <color rgb="FFFF0000"/>
        <rFont val="Aptos"/>
        <family val="2"/>
      </rPr>
      <t>20</t>
    </r>
    <r>
      <rPr>
        <sz val="8"/>
        <rFont val="Aptos"/>
        <family val="2"/>
      </rPr>
      <t>/5</t>
    </r>
  </si>
  <si>
    <r>
      <rPr>
        <sz val="8"/>
        <color rgb="FFFF0000"/>
        <rFont val="Aptos"/>
        <family val="2"/>
      </rPr>
      <t>15</t>
    </r>
    <r>
      <rPr>
        <sz val="8"/>
        <rFont val="Aptos"/>
        <family val="2"/>
      </rPr>
      <t>/5</t>
    </r>
  </si>
  <si>
    <r>
      <rPr>
        <sz val="8"/>
        <color rgb="FFFF0000"/>
        <rFont val="Aptos"/>
        <family val="2"/>
      </rPr>
      <t>10</t>
    </r>
    <r>
      <rPr>
        <sz val="8"/>
        <rFont val="Aptos"/>
        <family val="2"/>
      </rPr>
      <t>/5</t>
    </r>
  </si>
  <si>
    <t>TABLE 2: SURFACE INTERVAL TIME (SIT) TABLE</t>
  </si>
  <si>
    <t>ACTUAL DIVE TIME SHOULD NOT EXCEED THIS VALUE</t>
  </si>
  <si>
    <t>TIMES LISTED IN HOURS:MINUTES</t>
  </si>
  <si>
    <t>TABLE 3: REPETITIVE DIVE TIMETABLE</t>
  </si>
  <si>
    <t>BLACK NUMBERS ARE RESIDUAL NITROGEN TIME (RNT)</t>
  </si>
  <si>
    <t>RED NUMBERS ARE ADJUSTED MAXIMUM DIVE TIME (AMDT)</t>
  </si>
  <si>
    <t>DIVE TABLES</t>
  </si>
  <si>
    <t>Adapted from NAUI tables</t>
  </si>
  <si>
    <t>RNT</t>
  </si>
  <si>
    <t>TNT</t>
  </si>
  <si>
    <t>+ADT</t>
  </si>
  <si>
    <t>RESIDUAL NITROGEN TIME</t>
  </si>
  <si>
    <t>ACTUAL DIVE TIME</t>
  </si>
  <si>
    <t>TOTAL NITROGEN TIME</t>
  </si>
  <si>
    <t>OUT</t>
  </si>
  <si>
    <t>Computer data</t>
  </si>
  <si>
    <t>Max Depth</t>
  </si>
  <si>
    <t>Total Dive Time</t>
  </si>
  <si>
    <t>Model:</t>
  </si>
  <si>
    <t>Other Info</t>
  </si>
  <si>
    <t>SURFACE INTERCVAL TIME (SIT)</t>
  </si>
  <si>
    <t>Dive</t>
  </si>
  <si>
    <t>In Gr</t>
  </si>
  <si>
    <t>Out Gr</t>
  </si>
  <si>
    <t>SIT GROUP CALCULATION</t>
  </si>
  <si>
    <t>SIT GROUP</t>
  </si>
  <si>
    <t>TIME IN</t>
  </si>
  <si>
    <t>Time till ND</t>
  </si>
  <si>
    <r>
      <rPr>
        <sz val="8"/>
        <color rgb="FFFF0000"/>
        <rFont val="Aptos"/>
        <family val="2"/>
      </rPr>
      <t>60</t>
    </r>
    <r>
      <rPr>
        <sz val="8"/>
        <rFont val="Aptos"/>
        <family val="2"/>
      </rPr>
      <t>/5</t>
    </r>
  </si>
  <si>
    <t>ND</t>
  </si>
  <si>
    <t>Plan info</t>
  </si>
  <si>
    <t>For RNT, use Dive time on next group for each depth</t>
  </si>
  <si>
    <t>ADT = Log Time - Time at Stop</t>
  </si>
  <si>
    <t>Example:</t>
  </si>
  <si>
    <t>was used</t>
  </si>
  <si>
    <t>Complete if comuter</t>
  </si>
  <si>
    <t xml:space="preserve">From previous dive </t>
  </si>
  <si>
    <t>Enter Enter Actual SIT</t>
  </si>
  <si>
    <t>ADT = Dive Time less Time at Stop</t>
  </si>
  <si>
    <t>For safe RNT, use Dive time on next group for each depth</t>
  </si>
  <si>
    <t>ND - new diver when SIT &gt;24:00</t>
  </si>
  <si>
    <t>-Thus after dive: I and 1:15 SIT</t>
  </si>
  <si>
    <r>
      <t>at the Group</t>
    </r>
    <r>
      <rPr>
        <u/>
        <sz val="11"/>
        <color theme="1"/>
        <rFont val="Aptos Narrow"/>
        <family val="2"/>
        <scheme val="minor"/>
      </rPr>
      <t xml:space="preserve"> after dive</t>
    </r>
  </si>
  <si>
    <t>and, 21m max</t>
  </si>
  <si>
    <t>-Thus 35 Mins below 1m</t>
  </si>
  <si>
    <t xml:space="preserve">Enter dive time at max depth </t>
  </si>
  <si>
    <t>Dive 1 to 5 with info as below</t>
  </si>
  <si>
    <t>Day time below 1m</t>
  </si>
  <si>
    <t>Diver Log no</t>
  </si>
  <si>
    <t>(Dive time is time below 1m)</t>
  </si>
  <si>
    <t>Deduct stop time</t>
  </si>
  <si>
    <t>Out Group =TNT and Top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</si>
</sst>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b/>
      <sz val="8"/>
      <color theme="1"/>
      <name val="Aptos"/>
      <family val="2"/>
    </font>
    <font>
      <b/>
      <sz val="8"/>
      <color rgb="FF000000"/>
      <name val="Aptos"/>
      <family val="2"/>
    </font>
    <font>
      <sz val="8"/>
      <color rgb="FF000000"/>
      <name val="Aptos"/>
      <family val="2"/>
    </font>
    <font>
      <sz val="8"/>
      <color theme="1"/>
      <name val="Aptos Narrow"/>
      <family val="2"/>
      <scheme val="minor"/>
    </font>
    <font>
      <sz val="8"/>
      <color rgb="FFFF0000"/>
      <name val="Aptos"/>
      <family val="2"/>
    </font>
    <font>
      <b/>
      <sz val="9"/>
      <color theme="1"/>
      <name val="Aptos"/>
      <family val="2"/>
    </font>
    <font>
      <b/>
      <sz val="9"/>
      <color rgb="FF000000"/>
      <name val="Aptos"/>
      <family val="2"/>
    </font>
    <font>
      <sz val="8"/>
      <name val="Aptos"/>
      <family val="2"/>
    </font>
    <font>
      <sz val="11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8"/>
      <color rgb="FFFF0000"/>
      <name val="Aptos"/>
      <family val="2"/>
    </font>
    <font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name val="Aptos"/>
      <family val="2"/>
    </font>
    <font>
      <b/>
      <u/>
      <sz val="11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name val="Aptos"/>
      <family val="2"/>
    </font>
    <font>
      <u/>
      <sz val="11"/>
      <color theme="1"/>
      <name val="Aptos Narrow"/>
      <family val="2"/>
      <scheme val="minor"/>
    </font>
    <font>
      <b/>
      <u/>
      <sz val="9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FF0000"/>
      </right>
      <top style="medium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medium">
        <color indexed="64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medium">
        <color indexed="64"/>
      </left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quotePrefix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9" xfId="0" quotePrefix="1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2" xfId="0" quotePrefix="1" applyFont="1" applyFill="1" applyBorder="1" applyAlignment="1">
      <alignment horizontal="center" vertical="center" wrapText="1"/>
    </xf>
    <xf numFmtId="0" fontId="11" fillId="4" borderId="9" xfId="0" quotePrefix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1" fillId="4" borderId="7" xfId="0" quotePrefix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5" fillId="4" borderId="35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7" fillId="0" borderId="0" xfId="0" applyFont="1"/>
    <xf numFmtId="0" fontId="2" fillId="0" borderId="0" xfId="0" applyFont="1"/>
    <xf numFmtId="20" fontId="7" fillId="0" borderId="0" xfId="0" applyNumberFormat="1" applyFont="1"/>
    <xf numFmtId="0" fontId="18" fillId="0" borderId="22" xfId="0" applyFont="1" applyBorder="1"/>
    <xf numFmtId="0" fontId="18" fillId="0" borderId="12" xfId="0" applyFont="1" applyBorder="1"/>
    <xf numFmtId="0" fontId="18" fillId="0" borderId="0" xfId="0" applyFont="1"/>
    <xf numFmtId="0" fontId="18" fillId="0" borderId="25" xfId="0" applyFont="1" applyBorder="1"/>
    <xf numFmtId="0" fontId="18" fillId="0" borderId="47" xfId="0" applyFont="1" applyBorder="1"/>
    <xf numFmtId="0" fontId="7" fillId="4" borderId="0" xfId="0" applyFont="1" applyFill="1"/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right"/>
    </xf>
    <xf numFmtId="0" fontId="2" fillId="4" borderId="22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4" borderId="42" xfId="0" applyFont="1" applyFill="1" applyBorder="1" applyAlignment="1">
      <alignment horizontal="center" vertical="center"/>
    </xf>
    <xf numFmtId="0" fontId="7" fillId="0" borderId="22" xfId="0" applyFont="1" applyBorder="1"/>
    <xf numFmtId="0" fontId="7" fillId="0" borderId="45" xfId="0" applyFont="1" applyBorder="1"/>
    <xf numFmtId="46" fontId="7" fillId="0" borderId="4" xfId="0" applyNumberFormat="1" applyFont="1" applyBorder="1"/>
    <xf numFmtId="46" fontId="7" fillId="4" borderId="4" xfId="0" applyNumberFormat="1" applyFont="1" applyFill="1" applyBorder="1"/>
    <xf numFmtId="46" fontId="7" fillId="4" borderId="5" xfId="0" applyNumberFormat="1" applyFont="1" applyFill="1" applyBorder="1"/>
    <xf numFmtId="0" fontId="18" fillId="4" borderId="43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4" borderId="44" xfId="0" applyFont="1" applyFill="1" applyBorder="1" applyAlignment="1">
      <alignment horizontal="center" vertical="center"/>
    </xf>
    <xf numFmtId="0" fontId="7" fillId="0" borderId="25" xfId="0" applyFont="1" applyBorder="1"/>
    <xf numFmtId="0" fontId="7" fillId="0" borderId="46" xfId="0" applyFont="1" applyBorder="1"/>
    <xf numFmtId="20" fontId="7" fillId="0" borderId="9" xfId="0" applyNumberFormat="1" applyFont="1" applyBorder="1"/>
    <xf numFmtId="20" fontId="7" fillId="4" borderId="9" xfId="0" applyNumberFormat="1" applyFont="1" applyFill="1" applyBorder="1"/>
    <xf numFmtId="20" fontId="7" fillId="4" borderId="10" xfId="0" applyNumberFormat="1" applyFont="1" applyFill="1" applyBorder="1"/>
    <xf numFmtId="20" fontId="7" fillId="0" borderId="45" xfId="0" applyNumberFormat="1" applyFont="1" applyBorder="1"/>
    <xf numFmtId="20" fontId="7" fillId="4" borderId="4" xfId="0" applyNumberFormat="1" applyFont="1" applyFill="1" applyBorder="1"/>
    <xf numFmtId="20" fontId="7" fillId="0" borderId="4" xfId="0" applyNumberFormat="1" applyFont="1" applyBorder="1"/>
    <xf numFmtId="20" fontId="7" fillId="4" borderId="5" xfId="0" applyNumberFormat="1" applyFont="1" applyFill="1" applyBorder="1"/>
    <xf numFmtId="0" fontId="7" fillId="0" borderId="44" xfId="0" applyFont="1" applyBorder="1" applyAlignment="1">
      <alignment horizontal="center" vertical="center"/>
    </xf>
    <xf numFmtId="20" fontId="7" fillId="0" borderId="46" xfId="0" applyNumberFormat="1" applyFont="1" applyBorder="1"/>
    <xf numFmtId="0" fontId="7" fillId="4" borderId="50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4" borderId="51" xfId="0" applyFont="1" applyFill="1" applyBorder="1" applyAlignment="1">
      <alignment horizontal="center" vertical="center"/>
    </xf>
    <xf numFmtId="20" fontId="7" fillId="0" borderId="22" xfId="0" applyNumberFormat="1" applyFont="1" applyBorder="1"/>
    <xf numFmtId="20" fontId="7" fillId="0" borderId="25" xfId="0" applyNumberFormat="1" applyFont="1" applyBorder="1"/>
    <xf numFmtId="0" fontId="7" fillId="4" borderId="44" xfId="0" applyFont="1" applyFill="1" applyBorder="1" applyAlignment="1">
      <alignment horizontal="center" vertical="center"/>
    </xf>
    <xf numFmtId="0" fontId="18" fillId="4" borderId="50" xfId="0" applyFont="1" applyFill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18" fillId="4" borderId="51" xfId="0" applyFont="1" applyFill="1" applyBorder="1" applyAlignment="1">
      <alignment horizontal="center" vertical="center"/>
    </xf>
    <xf numFmtId="0" fontId="7" fillId="4" borderId="43" xfId="0" applyFont="1" applyFill="1" applyBorder="1" applyAlignment="1">
      <alignment horizontal="center" vertical="center"/>
    </xf>
    <xf numFmtId="0" fontId="19" fillId="0" borderId="0" xfId="0" applyFont="1"/>
    <xf numFmtId="0" fontId="7" fillId="0" borderId="41" xfId="0" quotePrefix="1" applyFont="1" applyBorder="1" applyAlignment="1">
      <alignment horizontal="center" vertical="center"/>
    </xf>
    <xf numFmtId="0" fontId="18" fillId="0" borderId="43" xfId="0" quotePrefix="1" applyFont="1" applyBorder="1" applyAlignment="1">
      <alignment horizontal="center" vertical="center"/>
    </xf>
    <xf numFmtId="0" fontId="2" fillId="4" borderId="0" xfId="0" applyFont="1" applyFill="1"/>
    <xf numFmtId="0" fontId="19" fillId="4" borderId="43" xfId="0" quotePrefix="1" applyFont="1" applyFill="1" applyBorder="1" applyAlignment="1">
      <alignment horizontal="left" vertical="center"/>
    </xf>
    <xf numFmtId="0" fontId="2" fillId="0" borderId="40" xfId="0" applyFont="1" applyBorder="1"/>
    <xf numFmtId="0" fontId="7" fillId="0" borderId="30" xfId="0" applyFont="1" applyBorder="1"/>
    <xf numFmtId="0" fontId="7" fillId="0" borderId="21" xfId="0" applyFont="1" applyBorder="1"/>
    <xf numFmtId="0" fontId="2" fillId="4" borderId="55" xfId="0" quotePrefix="1" applyFont="1" applyFill="1" applyBorder="1"/>
    <xf numFmtId="0" fontId="7" fillId="4" borderId="54" xfId="0" applyFont="1" applyFill="1" applyBorder="1"/>
    <xf numFmtId="0" fontId="2" fillId="4" borderId="37" xfId="0" applyFont="1" applyFill="1" applyBorder="1"/>
    <xf numFmtId="0" fontId="7" fillId="0" borderId="31" xfId="0" applyFont="1" applyBorder="1"/>
    <xf numFmtId="0" fontId="7" fillId="0" borderId="56" xfId="0" applyFont="1" applyBorder="1"/>
    <xf numFmtId="0" fontId="7" fillId="0" borderId="2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14" fillId="0" borderId="54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0" fillId="0" borderId="22" xfId="0" applyBorder="1" applyAlignment="1">
      <alignment horizontal="right" vertical="center"/>
    </xf>
    <xf numFmtId="0" fontId="4" fillId="2" borderId="57" xfId="0" applyFont="1" applyFill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 wrapText="1"/>
    </xf>
    <xf numFmtId="0" fontId="5" fillId="3" borderId="58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59" xfId="0" applyBorder="1" applyAlignment="1">
      <alignment horizontal="right" vertical="center"/>
    </xf>
    <xf numFmtId="0" fontId="0" fillId="0" borderId="3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60" xfId="0" applyBorder="1" applyAlignment="1">
      <alignment horizontal="right" vertical="center"/>
    </xf>
    <xf numFmtId="0" fontId="0" fillId="0" borderId="3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20" fontId="7" fillId="0" borderId="6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right" textRotation="90"/>
    </xf>
    <xf numFmtId="0" fontId="9" fillId="0" borderId="3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14" fillId="0" borderId="0" xfId="0" applyFont="1" applyAlignment="1">
      <alignment vertical="center" textRotation="90" shrinkToFit="1"/>
    </xf>
    <xf numFmtId="0" fontId="9" fillId="0" borderId="17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 wrapText="1"/>
    </xf>
    <xf numFmtId="0" fontId="11" fillId="0" borderId="64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20" fontId="14" fillId="0" borderId="35" xfId="0" applyNumberFormat="1" applyFont="1" applyBorder="1" applyAlignment="1">
      <alignment horizontal="left" vertical="center"/>
    </xf>
    <xf numFmtId="20" fontId="14" fillId="0" borderId="35" xfId="0" applyNumberFormat="1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 textRotation="90"/>
    </xf>
    <xf numFmtId="0" fontId="21" fillId="0" borderId="22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right" vertical="center"/>
    </xf>
    <xf numFmtId="0" fontId="0" fillId="0" borderId="36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20" fontId="7" fillId="0" borderId="20" xfId="0" applyNumberFormat="1" applyFont="1" applyBorder="1"/>
    <xf numFmtId="20" fontId="7" fillId="4" borderId="2" xfId="0" applyNumberFormat="1" applyFont="1" applyFill="1" applyBorder="1"/>
    <xf numFmtId="20" fontId="7" fillId="0" borderId="2" xfId="0" applyNumberFormat="1" applyFont="1" applyBorder="1"/>
    <xf numFmtId="0" fontId="7" fillId="4" borderId="53" xfId="0" applyFont="1" applyFill="1" applyBorder="1" applyAlignment="1">
      <alignment horizontal="center" vertical="center"/>
    </xf>
    <xf numFmtId="0" fontId="7" fillId="4" borderId="74" xfId="0" applyFont="1" applyFill="1" applyBorder="1" applyAlignment="1">
      <alignment horizontal="center" vertical="center"/>
    </xf>
    <xf numFmtId="20" fontId="7" fillId="4" borderId="73" xfId="0" applyNumberFormat="1" applyFont="1" applyFill="1" applyBorder="1"/>
    <xf numFmtId="0" fontId="7" fillId="5" borderId="51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20" fontId="7" fillId="0" borderId="2" xfId="0" applyNumberFormat="1" applyFont="1" applyBorder="1" applyAlignment="1">
      <alignment horizontal="center" vertical="center"/>
    </xf>
    <xf numFmtId="20" fontId="7" fillId="3" borderId="2" xfId="0" applyNumberFormat="1" applyFont="1" applyFill="1" applyBorder="1" applyAlignment="1">
      <alignment horizontal="center" vertical="center"/>
    </xf>
    <xf numFmtId="0" fontId="24" fillId="0" borderId="66" xfId="0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0" fontId="24" fillId="0" borderId="69" xfId="0" applyFont="1" applyBorder="1" applyAlignment="1">
      <alignment horizontal="center" vertical="center" wrapText="1"/>
    </xf>
    <xf numFmtId="0" fontId="24" fillId="0" borderId="70" xfId="0" applyFont="1" applyBorder="1" applyAlignment="1">
      <alignment horizontal="center" vertical="center" wrapText="1"/>
    </xf>
    <xf numFmtId="20" fontId="14" fillId="0" borderId="26" xfId="0" applyNumberFormat="1" applyFont="1" applyBorder="1" applyAlignment="1">
      <alignment horizontal="center" vertical="center"/>
    </xf>
    <xf numFmtId="20" fontId="7" fillId="0" borderId="7" xfId="0" applyNumberFormat="1" applyFont="1" applyBorder="1" applyAlignment="1">
      <alignment horizontal="center" vertical="center"/>
    </xf>
    <xf numFmtId="20" fontId="14" fillId="0" borderId="51" xfId="0" applyNumberFormat="1" applyFont="1" applyBorder="1" applyAlignment="1">
      <alignment horizontal="center" vertical="center"/>
    </xf>
    <xf numFmtId="20" fontId="0" fillId="0" borderId="51" xfId="0" applyNumberFormat="1" applyBorder="1" applyAlignment="1">
      <alignment horizontal="center" vertical="center"/>
    </xf>
    <xf numFmtId="0" fontId="12" fillId="0" borderId="0" xfId="0" quotePrefix="1" applyFont="1" applyAlignment="1">
      <alignment horizontal="left" vertical="center"/>
    </xf>
    <xf numFmtId="0" fontId="21" fillId="0" borderId="41" xfId="0" applyFont="1" applyBorder="1" applyAlignment="1">
      <alignment horizontal="left" vertical="center"/>
    </xf>
    <xf numFmtId="0" fontId="2" fillId="0" borderId="23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17" fillId="0" borderId="11" xfId="0" quotePrefix="1" applyFont="1" applyBorder="1" applyAlignment="1">
      <alignment horizontal="center" vertical="top"/>
    </xf>
    <xf numFmtId="0" fontId="0" fillId="0" borderId="24" xfId="0" applyBorder="1" applyAlignment="1">
      <alignment vertical="top"/>
    </xf>
    <xf numFmtId="0" fontId="2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4" xfId="0" applyBorder="1" applyAlignment="1">
      <alignment horizontal="center" textRotation="90"/>
    </xf>
    <xf numFmtId="0" fontId="14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53" xfId="0" applyFont="1" applyBorder="1" applyAlignment="1">
      <alignment horizontal="center" vertical="center" textRotation="90"/>
    </xf>
    <xf numFmtId="0" fontId="16" fillId="0" borderId="55" xfId="0" applyFont="1" applyBorder="1" applyAlignment="1">
      <alignment horizontal="center" vertical="center" textRotation="90"/>
    </xf>
    <xf numFmtId="0" fontId="9" fillId="0" borderId="61" xfId="0" applyFont="1" applyBorder="1" applyAlignment="1">
      <alignment horizontal="center" vertical="center" textRotation="90"/>
    </xf>
    <xf numFmtId="0" fontId="0" fillId="0" borderId="61" xfId="0" applyBorder="1" applyAlignment="1">
      <alignment textRotation="90"/>
    </xf>
    <xf numFmtId="0" fontId="0" fillId="0" borderId="62" xfId="0" applyBorder="1" applyAlignment="1">
      <alignment textRotation="90"/>
    </xf>
    <xf numFmtId="0" fontId="14" fillId="0" borderId="54" xfId="0" applyFont="1" applyBorder="1" applyAlignment="1">
      <alignment vertical="center" textRotation="90"/>
    </xf>
    <xf numFmtId="0" fontId="0" fillId="0" borderId="54" xfId="0" applyBorder="1" applyAlignment="1">
      <alignment vertical="center"/>
    </xf>
    <xf numFmtId="0" fontId="26" fillId="0" borderId="2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8EF181-8B27-4230-AB4E-66A74E1230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72258</xdr:colOff>
      <xdr:row>29</xdr:row>
      <xdr:rowOff>32844</xdr:rowOff>
    </xdr:from>
    <xdr:to>
      <xdr:col>31</xdr:col>
      <xdr:colOff>223345</xdr:colOff>
      <xdr:row>29</xdr:row>
      <xdr:rowOff>183931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C4504A0-035E-7719-34A7-60A216D263C2}"/>
            </a:ext>
          </a:extLst>
        </xdr:cNvPr>
        <xdr:cNvSpPr/>
      </xdr:nvSpPr>
      <xdr:spPr>
        <a:xfrm>
          <a:off x="10221310" y="4486603"/>
          <a:ext cx="151087" cy="15108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43</xdr:col>
      <xdr:colOff>119555</xdr:colOff>
      <xdr:row>29</xdr:row>
      <xdr:rowOff>21019</xdr:rowOff>
    </xdr:from>
    <xdr:to>
      <xdr:col>43</xdr:col>
      <xdr:colOff>270642</xdr:colOff>
      <xdr:row>29</xdr:row>
      <xdr:rowOff>172106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741A9F3-DA1D-552F-8E6B-7B06EE279F7E}"/>
            </a:ext>
          </a:extLst>
        </xdr:cNvPr>
        <xdr:cNvSpPr/>
      </xdr:nvSpPr>
      <xdr:spPr>
        <a:xfrm>
          <a:off x="14052331" y="4474778"/>
          <a:ext cx="151087" cy="151087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28</xdr:col>
      <xdr:colOff>34158</xdr:colOff>
      <xdr:row>29</xdr:row>
      <xdr:rowOff>27589</xdr:rowOff>
    </xdr:from>
    <xdr:to>
      <xdr:col>28</xdr:col>
      <xdr:colOff>185245</xdr:colOff>
      <xdr:row>29</xdr:row>
      <xdr:rowOff>178676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8FC25-643B-E1F0-934D-EB61821F9573}"/>
            </a:ext>
          </a:extLst>
        </xdr:cNvPr>
        <xdr:cNvSpPr/>
      </xdr:nvSpPr>
      <xdr:spPr>
        <a:xfrm>
          <a:off x="8731468" y="4481348"/>
          <a:ext cx="151087" cy="1510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43</xdr:col>
      <xdr:colOff>127437</xdr:colOff>
      <xdr:row>28</xdr:row>
      <xdr:rowOff>28903</xdr:rowOff>
    </xdr:from>
    <xdr:to>
      <xdr:col>43</xdr:col>
      <xdr:colOff>278524</xdr:colOff>
      <xdr:row>28</xdr:row>
      <xdr:rowOff>179990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619AC70-66C3-044D-1618-5AE07E23BC48}"/>
            </a:ext>
          </a:extLst>
        </xdr:cNvPr>
        <xdr:cNvSpPr/>
      </xdr:nvSpPr>
      <xdr:spPr>
        <a:xfrm>
          <a:off x="13449299" y="4285593"/>
          <a:ext cx="151087" cy="151087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31</xdr:col>
      <xdr:colOff>201219</xdr:colOff>
      <xdr:row>29</xdr:row>
      <xdr:rowOff>54969</xdr:rowOff>
    </xdr:from>
    <xdr:to>
      <xdr:col>43</xdr:col>
      <xdr:colOff>119555</xdr:colOff>
      <xdr:row>29</xdr:row>
      <xdr:rowOff>96562</xdr:rowOff>
    </xdr:to>
    <xdr:cxnSp macro="">
      <xdr:nvCxnSpPr>
        <xdr:cNvPr id="14" name="Connector: Curved 13">
          <a:extLst>
            <a:ext uri="{FF2B5EF4-FFF2-40B4-BE49-F238E27FC236}">
              <a16:creationId xmlns:a16="http://schemas.microsoft.com/office/drawing/2014/main" id="{61739F7A-E084-0D3B-DC79-E80145CEE9A2}"/>
            </a:ext>
          </a:extLst>
        </xdr:cNvPr>
        <xdr:cNvCxnSpPr>
          <a:stCxn id="2" idx="7"/>
          <a:endCxn id="3" idx="2"/>
        </xdr:cNvCxnSpPr>
      </xdr:nvCxnSpPr>
      <xdr:spPr>
        <a:xfrm rot="16200000" flipH="1">
          <a:off x="11569590" y="2678495"/>
          <a:ext cx="41593" cy="3702060"/>
        </a:xfrm>
        <a:prstGeom prst="curvedConnector4">
          <a:avLst>
            <a:gd name="adj1" fmla="val -549612"/>
            <a:gd name="adj2" fmla="val 90661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163120</xdr:colOff>
      <xdr:row>28</xdr:row>
      <xdr:rowOff>51029</xdr:rowOff>
    </xdr:from>
    <xdr:to>
      <xdr:col>43</xdr:col>
      <xdr:colOff>149564</xdr:colOff>
      <xdr:row>29</xdr:row>
      <xdr:rowOff>49715</xdr:rowOff>
    </xdr:to>
    <xdr:cxnSp macro="">
      <xdr:nvCxnSpPr>
        <xdr:cNvPr id="16" name="Connector: Curved 15">
          <a:extLst>
            <a:ext uri="{FF2B5EF4-FFF2-40B4-BE49-F238E27FC236}">
              <a16:creationId xmlns:a16="http://schemas.microsoft.com/office/drawing/2014/main" id="{9D4157C0-E3BD-1712-9ECA-A6EFAEA82F12}"/>
            </a:ext>
          </a:extLst>
        </xdr:cNvPr>
        <xdr:cNvCxnSpPr>
          <a:stCxn id="9" idx="7"/>
          <a:endCxn id="10" idx="1"/>
        </xdr:cNvCxnSpPr>
      </xdr:nvCxnSpPr>
      <xdr:spPr>
        <a:xfrm rot="5400000" flipH="1" flipV="1">
          <a:off x="11068050" y="2100099"/>
          <a:ext cx="195755" cy="4610996"/>
        </a:xfrm>
        <a:prstGeom prst="curvedConnector3">
          <a:avLst>
            <a:gd name="adj1" fmla="val 388406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45983</xdr:colOff>
      <xdr:row>32</xdr:row>
      <xdr:rowOff>19706</xdr:rowOff>
    </xdr:from>
    <xdr:to>
      <xdr:col>36</xdr:col>
      <xdr:colOff>45983</xdr:colOff>
      <xdr:row>32</xdr:row>
      <xdr:rowOff>183931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2087095-2859-E4B4-DFF8-883FC93439BC}"/>
            </a:ext>
          </a:extLst>
        </xdr:cNvPr>
        <xdr:cNvSpPr/>
      </xdr:nvSpPr>
      <xdr:spPr>
        <a:xfrm>
          <a:off x="8979776" y="5064672"/>
          <a:ext cx="2115207" cy="164225"/>
        </a:xfrm>
        <a:prstGeom prst="ellipse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30</xdr:col>
      <xdr:colOff>19707</xdr:colOff>
      <xdr:row>2</xdr:row>
      <xdr:rowOff>157656</xdr:rowOff>
    </xdr:from>
    <xdr:to>
      <xdr:col>30</xdr:col>
      <xdr:colOff>282465</xdr:colOff>
      <xdr:row>10</xdr:row>
      <xdr:rowOff>39415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5DFE471-3AB5-FA87-14D4-D89901207B1A}"/>
            </a:ext>
          </a:extLst>
        </xdr:cNvPr>
        <xdr:cNvSpPr/>
      </xdr:nvSpPr>
      <xdr:spPr>
        <a:xfrm>
          <a:off x="9255673" y="499242"/>
          <a:ext cx="262758" cy="1248104"/>
        </a:xfrm>
        <a:prstGeom prst="ellipse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29</xdr:col>
      <xdr:colOff>67964</xdr:colOff>
      <xdr:row>8</xdr:row>
      <xdr:rowOff>28550</xdr:rowOff>
    </xdr:from>
    <xdr:to>
      <xdr:col>30</xdr:col>
      <xdr:colOff>48256</xdr:colOff>
      <xdr:row>32</xdr:row>
      <xdr:rowOff>123800</xdr:rowOff>
    </xdr:to>
    <xdr:cxnSp macro="">
      <xdr:nvCxnSpPr>
        <xdr:cNvPr id="20" name="Connector: Curved 19">
          <a:extLst>
            <a:ext uri="{FF2B5EF4-FFF2-40B4-BE49-F238E27FC236}">
              <a16:creationId xmlns:a16="http://schemas.microsoft.com/office/drawing/2014/main" id="{BCBAF96D-E039-8F82-4DD1-76286FBF1545}"/>
            </a:ext>
          </a:extLst>
        </xdr:cNvPr>
        <xdr:cNvCxnSpPr/>
      </xdr:nvCxnSpPr>
      <xdr:spPr>
        <a:xfrm rot="5400000">
          <a:off x="7418004" y="3112049"/>
          <a:ext cx="3758711" cy="288022"/>
        </a:xfrm>
        <a:prstGeom prst="curvedConnector4">
          <a:avLst>
            <a:gd name="adj1" fmla="val 48912"/>
            <a:gd name="adj2" fmla="val 222790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256189</xdr:colOff>
      <xdr:row>21</xdr:row>
      <xdr:rowOff>72258</xdr:rowOff>
    </xdr:from>
    <xdr:to>
      <xdr:col>42</xdr:col>
      <xdr:colOff>52552</xdr:colOff>
      <xdr:row>21</xdr:row>
      <xdr:rowOff>72258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2CF26F2B-DA6C-BF82-DA0E-189C007304B7}"/>
            </a:ext>
          </a:extLst>
        </xdr:cNvPr>
        <xdr:cNvCxnSpPr/>
      </xdr:nvCxnSpPr>
      <xdr:spPr>
        <a:xfrm flipH="1">
          <a:off x="10398672" y="3396155"/>
          <a:ext cx="2594742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151086</xdr:colOff>
      <xdr:row>14</xdr:row>
      <xdr:rowOff>236483</xdr:rowOff>
    </xdr:from>
    <xdr:to>
      <xdr:col>33</xdr:col>
      <xdr:colOff>164224</xdr:colOff>
      <xdr:row>21</xdr:row>
      <xdr:rowOff>19706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1F3601E-B157-1878-4EF1-155035CA3454}"/>
            </a:ext>
          </a:extLst>
        </xdr:cNvPr>
        <xdr:cNvCxnSpPr/>
      </xdr:nvCxnSpPr>
      <xdr:spPr>
        <a:xfrm flipH="1" flipV="1">
          <a:off x="10293569" y="2522483"/>
          <a:ext cx="13138" cy="82112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109702</xdr:colOff>
      <xdr:row>14</xdr:row>
      <xdr:rowOff>137948</xdr:rowOff>
    </xdr:from>
    <xdr:to>
      <xdr:col>33</xdr:col>
      <xdr:colOff>91965</xdr:colOff>
      <xdr:row>29</xdr:row>
      <xdr:rowOff>27589</xdr:rowOff>
    </xdr:to>
    <xdr:cxnSp macro="">
      <xdr:nvCxnSpPr>
        <xdr:cNvPr id="29" name="Connector: Curved 28">
          <a:extLst>
            <a:ext uri="{FF2B5EF4-FFF2-40B4-BE49-F238E27FC236}">
              <a16:creationId xmlns:a16="http://schemas.microsoft.com/office/drawing/2014/main" id="{0CED644E-F6D4-A158-3A63-0F4C0FB0A6DC}"/>
            </a:ext>
          </a:extLst>
        </xdr:cNvPr>
        <xdr:cNvCxnSpPr>
          <a:endCxn id="9" idx="0"/>
        </xdr:cNvCxnSpPr>
      </xdr:nvCxnSpPr>
      <xdr:spPr>
        <a:xfrm rot="5400000">
          <a:off x="8492030" y="2738930"/>
          <a:ext cx="2057400" cy="1427436"/>
        </a:xfrm>
        <a:prstGeom prst="curvedConnector3">
          <a:avLst>
            <a:gd name="adj1" fmla="val 36068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51287</xdr:colOff>
      <xdr:row>2</xdr:row>
      <xdr:rowOff>124557</xdr:rowOff>
    </xdr:from>
    <xdr:to>
      <xdr:col>45</xdr:col>
      <xdr:colOff>87922</xdr:colOff>
      <xdr:row>32</xdr:row>
      <xdr:rowOff>95249</xdr:rowOff>
    </xdr:to>
    <xdr:cxnSp macro="">
      <xdr:nvCxnSpPr>
        <xdr:cNvPr id="42" name="Connector: Curved 41">
          <a:extLst>
            <a:ext uri="{FF2B5EF4-FFF2-40B4-BE49-F238E27FC236}">
              <a16:creationId xmlns:a16="http://schemas.microsoft.com/office/drawing/2014/main" id="{D69022A6-87D3-4AF4-86F9-060F53229D82}"/>
            </a:ext>
          </a:extLst>
        </xdr:cNvPr>
        <xdr:cNvCxnSpPr/>
      </xdr:nvCxnSpPr>
      <xdr:spPr>
        <a:xfrm rot="16200000" flipH="1">
          <a:off x="10825528" y="1542316"/>
          <a:ext cx="4645269" cy="2483827"/>
        </a:xfrm>
        <a:prstGeom prst="curvedConnector3">
          <a:avLst>
            <a:gd name="adj1" fmla="val 5662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256442</xdr:colOff>
      <xdr:row>2</xdr:row>
      <xdr:rowOff>51289</xdr:rowOff>
    </xdr:from>
    <xdr:to>
      <xdr:col>38</xdr:col>
      <xdr:colOff>256442</xdr:colOff>
      <xdr:row>3</xdr:row>
      <xdr:rowOff>58615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3C78FDF-8061-F14C-59A4-23544925FE51}"/>
            </a:ext>
          </a:extLst>
        </xdr:cNvPr>
        <xdr:cNvCxnSpPr/>
      </xdr:nvCxnSpPr>
      <xdr:spPr>
        <a:xfrm flipV="1">
          <a:off x="12111404" y="388327"/>
          <a:ext cx="0" cy="17584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234465</xdr:colOff>
      <xdr:row>3</xdr:row>
      <xdr:rowOff>124557</xdr:rowOff>
    </xdr:from>
    <xdr:to>
      <xdr:col>45</xdr:col>
      <xdr:colOff>337039</xdr:colOff>
      <xdr:row>31</xdr:row>
      <xdr:rowOff>65944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DB851C33-D68D-9597-3DEA-0DB2748F97CE}"/>
            </a:ext>
          </a:extLst>
        </xdr:cNvPr>
        <xdr:cNvCxnSpPr/>
      </xdr:nvCxnSpPr>
      <xdr:spPr>
        <a:xfrm rot="16200000" flipV="1">
          <a:off x="11239501" y="1480041"/>
          <a:ext cx="4249617" cy="2549766"/>
        </a:xfrm>
        <a:prstGeom prst="bentConnector3">
          <a:avLst>
            <a:gd name="adj1" fmla="val 10017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36636</xdr:colOff>
      <xdr:row>22</xdr:row>
      <xdr:rowOff>95250</xdr:rowOff>
    </xdr:from>
    <xdr:to>
      <xdr:col>28</xdr:col>
      <xdr:colOff>117232</xdr:colOff>
      <xdr:row>32</xdr:row>
      <xdr:rowOff>124558</xdr:rowOff>
    </xdr:to>
    <xdr:cxnSp macro="">
      <xdr:nvCxnSpPr>
        <xdr:cNvPr id="40" name="Connector: Curved 39">
          <a:extLst>
            <a:ext uri="{FF2B5EF4-FFF2-40B4-BE49-F238E27FC236}">
              <a16:creationId xmlns:a16="http://schemas.microsoft.com/office/drawing/2014/main" id="{ED1D46A4-61C8-DBFC-6683-848C31AC3A5C}"/>
            </a:ext>
          </a:extLst>
        </xdr:cNvPr>
        <xdr:cNvCxnSpPr/>
      </xdr:nvCxnSpPr>
      <xdr:spPr>
        <a:xfrm rot="16200000" flipV="1">
          <a:off x="8015655" y="4191000"/>
          <a:ext cx="1626577" cy="263769"/>
        </a:xfrm>
        <a:prstGeom prst="curvedConnector3">
          <a:avLst>
            <a:gd name="adj1" fmla="val 14865"/>
          </a:avLst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29308</xdr:colOff>
      <xdr:row>2</xdr:row>
      <xdr:rowOff>124559</xdr:rowOff>
    </xdr:from>
    <xdr:to>
      <xdr:col>29</xdr:col>
      <xdr:colOff>109903</xdr:colOff>
      <xdr:row>22</xdr:row>
      <xdr:rowOff>87924</xdr:rowOff>
    </xdr:to>
    <xdr:cxnSp macro="">
      <xdr:nvCxnSpPr>
        <xdr:cNvPr id="44" name="Connector: Curved 43">
          <a:extLst>
            <a:ext uri="{FF2B5EF4-FFF2-40B4-BE49-F238E27FC236}">
              <a16:creationId xmlns:a16="http://schemas.microsoft.com/office/drawing/2014/main" id="{F3170FF5-E7FC-A1B9-C4AB-390ADF1C0867}"/>
            </a:ext>
          </a:extLst>
        </xdr:cNvPr>
        <xdr:cNvCxnSpPr/>
      </xdr:nvCxnSpPr>
      <xdr:spPr>
        <a:xfrm rot="5400000" flipH="1" flipV="1">
          <a:off x="7422173" y="1729155"/>
          <a:ext cx="3040673" cy="505557"/>
        </a:xfrm>
        <a:prstGeom prst="curvedConnector3">
          <a:avLst>
            <a:gd name="adj1" fmla="val 100843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153865</xdr:colOff>
      <xdr:row>0</xdr:row>
      <xdr:rowOff>124558</xdr:rowOff>
    </xdr:from>
    <xdr:to>
      <xdr:col>29</xdr:col>
      <xdr:colOff>263773</xdr:colOff>
      <xdr:row>2</xdr:row>
      <xdr:rowOff>7327</xdr:rowOff>
    </xdr:to>
    <xdr:cxnSp macro="">
      <xdr:nvCxnSpPr>
        <xdr:cNvPr id="59" name="Connector: Curved 58">
          <a:extLst>
            <a:ext uri="{FF2B5EF4-FFF2-40B4-BE49-F238E27FC236}">
              <a16:creationId xmlns:a16="http://schemas.microsoft.com/office/drawing/2014/main" id="{1B8BD536-9C02-F61F-89F6-522D6A77189B}"/>
            </a:ext>
          </a:extLst>
        </xdr:cNvPr>
        <xdr:cNvCxnSpPr/>
      </xdr:nvCxnSpPr>
      <xdr:spPr>
        <a:xfrm rot="5400000" flipH="1" flipV="1">
          <a:off x="9184300" y="179508"/>
          <a:ext cx="219807" cy="109908"/>
        </a:xfrm>
        <a:prstGeom prst="curvedConnector3">
          <a:avLst>
            <a:gd name="adj1" fmla="val 150001"/>
          </a:avLst>
        </a:prstGeom>
        <a:ln>
          <a:solidFill>
            <a:srgbClr val="FFC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271100</xdr:colOff>
      <xdr:row>0</xdr:row>
      <xdr:rowOff>102579</xdr:rowOff>
    </xdr:from>
    <xdr:to>
      <xdr:col>30</xdr:col>
      <xdr:colOff>153866</xdr:colOff>
      <xdr:row>2</xdr:row>
      <xdr:rowOff>51288</xdr:rowOff>
    </xdr:to>
    <xdr:cxnSp macro="">
      <xdr:nvCxnSpPr>
        <xdr:cNvPr id="62" name="Connector: Curved 61">
          <a:extLst>
            <a:ext uri="{FF2B5EF4-FFF2-40B4-BE49-F238E27FC236}">
              <a16:creationId xmlns:a16="http://schemas.microsoft.com/office/drawing/2014/main" id="{8169EFAC-6F3E-A9A2-8821-BC0FB97CB2B7}"/>
            </a:ext>
          </a:extLst>
        </xdr:cNvPr>
        <xdr:cNvCxnSpPr/>
      </xdr:nvCxnSpPr>
      <xdr:spPr>
        <a:xfrm rot="16200000" flipH="1">
          <a:off x="9308859" y="150205"/>
          <a:ext cx="285747" cy="190496"/>
        </a:xfrm>
        <a:prstGeom prst="curvedConnector3">
          <a:avLst>
            <a:gd name="adj1" fmla="val 50000"/>
          </a:avLst>
        </a:prstGeom>
        <a:ln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09D8-7610-4899-991B-3AC9982454FB}">
  <dimension ref="A1:AW37"/>
  <sheetViews>
    <sheetView tabSelected="1" topLeftCell="L4" zoomScale="130" zoomScaleNormal="130" workbookViewId="0">
      <selection activeCell="AV32" sqref="AV32"/>
    </sheetView>
  </sheetViews>
  <sheetFormatPr defaultRowHeight="15" x14ac:dyDescent="0.25"/>
  <cols>
    <col min="1" max="1" width="2.7109375" style="1" bestFit="1" customWidth="1"/>
    <col min="2" max="2" width="3.5703125" style="1" bestFit="1" customWidth="1"/>
    <col min="3" max="14" width="4.5703125" style="1" customWidth="1"/>
    <col min="15" max="20" width="5.7109375" style="1" customWidth="1"/>
    <col min="21" max="21" width="1.140625" style="1" customWidth="1"/>
    <col min="22" max="26" width="6.28515625" style="1" customWidth="1"/>
    <col min="27" max="27" width="1.42578125" style="1" customWidth="1"/>
    <col min="28" max="28" width="2.7109375" style="1" bestFit="1" customWidth="1"/>
    <col min="29" max="29" width="3.5703125" style="1" bestFit="1" customWidth="1"/>
    <col min="30" max="41" width="4.5703125" style="1" customWidth="1"/>
    <col min="42" max="47" width="5.7109375" style="1" customWidth="1"/>
    <col min="48" max="49" width="9.140625" style="115"/>
    <col min="50" max="16384" width="9.140625" style="1"/>
  </cols>
  <sheetData>
    <row r="1" spans="1:49" s="42" customFormat="1" ht="13.5" customHeight="1" thickBot="1" x14ac:dyDescent="0.3">
      <c r="A1" s="237"/>
      <c r="B1" s="238"/>
      <c r="C1" s="239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144" t="s">
        <v>73</v>
      </c>
      <c r="P1" s="181">
        <v>0.34375</v>
      </c>
      <c r="Q1" s="182">
        <f>+P1+P7/24/60+P22</f>
        <v>0.34375</v>
      </c>
      <c r="R1" s="182">
        <f>+Q1+Q25+Q6/24/60</f>
        <v>0.34375</v>
      </c>
      <c r="S1" s="182">
        <f>+R1+R24+R4/24/60</f>
        <v>0.34375</v>
      </c>
      <c r="T1" s="207">
        <v>0.375</v>
      </c>
      <c r="V1" s="135"/>
      <c r="W1" s="136"/>
      <c r="X1" s="136"/>
      <c r="Y1" s="136"/>
      <c r="Z1" s="136"/>
      <c r="AB1" s="237"/>
      <c r="AC1" s="238"/>
      <c r="AD1" s="249" t="s">
        <v>80</v>
      </c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144" t="s">
        <v>73</v>
      </c>
      <c r="AQ1" s="181">
        <v>0.34375</v>
      </c>
      <c r="AR1" s="182">
        <f>+AQ1+AQ7/24/60+AQ22</f>
        <v>0.44097222222222227</v>
      </c>
      <c r="AS1" s="182">
        <f>+AR1+AR25+AR6/24/60</f>
        <v>0.59722222222222232</v>
      </c>
      <c r="AT1" s="182">
        <f>+AS1+AS24+AS4/24/60</f>
        <v>0.68055555555555569</v>
      </c>
      <c r="AU1" s="207"/>
      <c r="AV1" s="200" t="s">
        <v>94</v>
      </c>
      <c r="AW1" s="198"/>
    </row>
    <row r="2" spans="1:49" s="42" customFormat="1" ht="13.5" customHeight="1" thickBot="1" x14ac:dyDescent="0.3">
      <c r="A2" s="237" t="s">
        <v>13</v>
      </c>
      <c r="B2" s="238"/>
      <c r="C2" s="239" t="s">
        <v>14</v>
      </c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170" t="s">
        <v>15</v>
      </c>
      <c r="P2" s="171"/>
      <c r="Q2" s="172"/>
      <c r="R2" s="171"/>
      <c r="S2" s="172"/>
      <c r="T2" s="173"/>
      <c r="V2" s="135"/>
      <c r="W2" s="209"/>
      <c r="X2" s="136"/>
      <c r="Y2" s="136"/>
      <c r="Z2" s="136"/>
      <c r="AB2" s="237" t="s">
        <v>13</v>
      </c>
      <c r="AC2" s="238"/>
      <c r="AD2" s="239" t="s">
        <v>14</v>
      </c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170" t="s">
        <v>15</v>
      </c>
      <c r="AQ2" s="171">
        <v>108</v>
      </c>
      <c r="AR2" s="172">
        <v>109</v>
      </c>
      <c r="AS2" s="171">
        <v>110</v>
      </c>
      <c r="AT2" s="172">
        <v>111</v>
      </c>
      <c r="AU2" s="173"/>
      <c r="AV2" s="198" t="s">
        <v>95</v>
      </c>
      <c r="AW2" s="198"/>
    </row>
    <row r="3" spans="1:49" ht="13.5" customHeight="1" x14ac:dyDescent="0.25">
      <c r="A3" s="3" t="s">
        <v>18</v>
      </c>
      <c r="B3" s="15" t="s">
        <v>12</v>
      </c>
      <c r="C3" s="16" t="s">
        <v>0</v>
      </c>
      <c r="D3" s="23" t="s">
        <v>1</v>
      </c>
      <c r="E3" s="5" t="s">
        <v>2</v>
      </c>
      <c r="F3" s="23" t="s">
        <v>3</v>
      </c>
      <c r="G3" s="5" t="s">
        <v>4</v>
      </c>
      <c r="H3" s="23" t="s">
        <v>5</v>
      </c>
      <c r="I3" s="5" t="s">
        <v>6</v>
      </c>
      <c r="J3" s="23" t="s">
        <v>7</v>
      </c>
      <c r="K3" s="5" t="s">
        <v>8</v>
      </c>
      <c r="L3" s="23" t="s">
        <v>9</v>
      </c>
      <c r="M3" s="5" t="s">
        <v>10</v>
      </c>
      <c r="N3" s="28" t="s">
        <v>11</v>
      </c>
      <c r="O3" s="177" t="str">
        <f>A3&amp;"/"&amp;B3</f>
        <v>M/FT</v>
      </c>
      <c r="P3" s="174">
        <v>1</v>
      </c>
      <c r="Q3" s="126">
        <v>2</v>
      </c>
      <c r="R3" s="113">
        <v>3</v>
      </c>
      <c r="S3" s="126">
        <v>4</v>
      </c>
      <c r="T3" s="114">
        <v>5</v>
      </c>
      <c r="V3" s="137"/>
      <c r="W3" s="210"/>
      <c r="X3" s="43"/>
      <c r="Y3" s="43"/>
      <c r="Z3" s="43"/>
      <c r="AB3" s="3" t="s">
        <v>18</v>
      </c>
      <c r="AC3" s="15" t="s">
        <v>12</v>
      </c>
      <c r="AD3" s="16" t="s">
        <v>0</v>
      </c>
      <c r="AE3" s="23" t="s">
        <v>1</v>
      </c>
      <c r="AF3" s="5" t="s">
        <v>2</v>
      </c>
      <c r="AG3" s="23" t="s">
        <v>3</v>
      </c>
      <c r="AH3" s="5" t="s">
        <v>4</v>
      </c>
      <c r="AI3" s="23" t="s">
        <v>5</v>
      </c>
      <c r="AJ3" s="5" t="s">
        <v>6</v>
      </c>
      <c r="AK3" s="23" t="s">
        <v>7</v>
      </c>
      <c r="AL3" s="5" t="s">
        <v>8</v>
      </c>
      <c r="AM3" s="23" t="s">
        <v>9</v>
      </c>
      <c r="AN3" s="5" t="s">
        <v>10</v>
      </c>
      <c r="AO3" s="28" t="s">
        <v>11</v>
      </c>
      <c r="AP3" s="177" t="str">
        <f>AB3&amp;"/"&amp;AC3</f>
        <v>M/FT</v>
      </c>
      <c r="AQ3" s="174">
        <v>1</v>
      </c>
      <c r="AR3" s="126">
        <v>2</v>
      </c>
      <c r="AS3" s="113">
        <v>3</v>
      </c>
      <c r="AT3" s="126">
        <v>4</v>
      </c>
      <c r="AU3" s="114">
        <v>5</v>
      </c>
      <c r="AV3" s="115" t="s">
        <v>93</v>
      </c>
    </row>
    <row r="4" spans="1:49" ht="13.5" customHeight="1" x14ac:dyDescent="0.25">
      <c r="A4" s="57">
        <v>12</v>
      </c>
      <c r="B4" s="58">
        <v>40</v>
      </c>
      <c r="C4" s="17">
        <v>5</v>
      </c>
      <c r="D4" s="24">
        <v>15</v>
      </c>
      <c r="E4" s="18">
        <v>25</v>
      </c>
      <c r="F4" s="24">
        <v>30</v>
      </c>
      <c r="G4" s="18">
        <v>40</v>
      </c>
      <c r="H4" s="24">
        <v>50</v>
      </c>
      <c r="I4" s="18">
        <v>70</v>
      </c>
      <c r="J4" s="24">
        <v>80</v>
      </c>
      <c r="K4" s="18">
        <v>100</v>
      </c>
      <c r="L4" s="24">
        <v>110</v>
      </c>
      <c r="M4" s="46">
        <v>130</v>
      </c>
      <c r="N4" s="29" t="s">
        <v>26</v>
      </c>
      <c r="O4" s="175" t="str">
        <f t="shared" ref="O4:O13" si="0">A4&amp;"/"&amp;B4</f>
        <v>12/40</v>
      </c>
      <c r="P4" s="6"/>
      <c r="Q4" s="33"/>
      <c r="R4" s="7"/>
      <c r="S4" s="33"/>
      <c r="T4" s="8"/>
      <c r="V4" s="137"/>
      <c r="W4" s="43"/>
      <c r="X4" s="43"/>
      <c r="Y4" s="43"/>
      <c r="Z4" s="43"/>
      <c r="AB4" s="57">
        <v>12</v>
      </c>
      <c r="AC4" s="58">
        <v>40</v>
      </c>
      <c r="AD4" s="17">
        <v>5</v>
      </c>
      <c r="AE4" s="24">
        <v>15</v>
      </c>
      <c r="AF4" s="18">
        <v>25</v>
      </c>
      <c r="AG4" s="24">
        <v>30</v>
      </c>
      <c r="AH4" s="18">
        <v>40</v>
      </c>
      <c r="AI4" s="24">
        <v>50</v>
      </c>
      <c r="AJ4" s="18">
        <v>70</v>
      </c>
      <c r="AK4" s="24">
        <v>80</v>
      </c>
      <c r="AL4" s="18">
        <v>100</v>
      </c>
      <c r="AM4" s="24">
        <v>110</v>
      </c>
      <c r="AN4" s="46">
        <v>130</v>
      </c>
      <c r="AO4" s="29" t="s">
        <v>26</v>
      </c>
      <c r="AP4" s="175" t="str">
        <f t="shared" ref="AP4:AP13" si="1">AB4&amp;"/"&amp;AC4</f>
        <v>12/40</v>
      </c>
      <c r="AQ4" s="6"/>
      <c r="AR4" s="33"/>
      <c r="AS4" s="7">
        <v>45</v>
      </c>
      <c r="AT4" s="33">
        <v>25</v>
      </c>
      <c r="AU4" s="8"/>
      <c r="AV4" s="115" t="s">
        <v>92</v>
      </c>
    </row>
    <row r="5" spans="1:49" ht="13.5" customHeight="1" x14ac:dyDescent="0.25">
      <c r="A5" s="57">
        <v>15</v>
      </c>
      <c r="B5" s="58">
        <v>50</v>
      </c>
      <c r="C5" s="17"/>
      <c r="D5" s="24">
        <v>10</v>
      </c>
      <c r="E5" s="18">
        <v>15</v>
      </c>
      <c r="F5" s="24">
        <v>25</v>
      </c>
      <c r="G5" s="18">
        <v>30</v>
      </c>
      <c r="H5" s="24">
        <v>40</v>
      </c>
      <c r="I5" s="18">
        <v>50</v>
      </c>
      <c r="J5" s="24">
        <v>60</v>
      </c>
      <c r="K5" s="18">
        <v>70</v>
      </c>
      <c r="L5" s="47">
        <v>80</v>
      </c>
      <c r="M5" s="18"/>
      <c r="N5" s="29" t="s">
        <v>27</v>
      </c>
      <c r="O5" s="175" t="str">
        <f t="shared" si="0"/>
        <v>15/50</v>
      </c>
      <c r="P5" s="6"/>
      <c r="Q5" s="33"/>
      <c r="R5" s="7"/>
      <c r="S5" s="33"/>
      <c r="T5" s="8"/>
      <c r="V5" s="137"/>
      <c r="W5" s="43"/>
      <c r="X5" s="43"/>
      <c r="Y5" s="43"/>
      <c r="Z5" s="43"/>
      <c r="AB5" s="57">
        <v>15</v>
      </c>
      <c r="AC5" s="58">
        <v>50</v>
      </c>
      <c r="AD5" s="17"/>
      <c r="AE5" s="24">
        <v>10</v>
      </c>
      <c r="AF5" s="18">
        <v>15</v>
      </c>
      <c r="AG5" s="24">
        <v>25</v>
      </c>
      <c r="AH5" s="18">
        <v>30</v>
      </c>
      <c r="AI5" s="24">
        <v>40</v>
      </c>
      <c r="AJ5" s="18">
        <v>50</v>
      </c>
      <c r="AK5" s="24">
        <v>60</v>
      </c>
      <c r="AL5" s="18">
        <v>70</v>
      </c>
      <c r="AM5" s="47">
        <v>80</v>
      </c>
      <c r="AN5" s="18"/>
      <c r="AO5" s="29" t="s">
        <v>27</v>
      </c>
      <c r="AP5" s="175" t="str">
        <f t="shared" si="1"/>
        <v>15/50</v>
      </c>
      <c r="AQ5" s="6"/>
      <c r="AR5" s="33"/>
      <c r="AS5" s="7"/>
      <c r="AT5" s="33"/>
      <c r="AU5" s="8"/>
      <c r="AV5" s="115" t="s">
        <v>96</v>
      </c>
    </row>
    <row r="6" spans="1:49" ht="13.5" customHeight="1" x14ac:dyDescent="0.25">
      <c r="A6" s="57">
        <v>18</v>
      </c>
      <c r="B6" s="58">
        <v>60</v>
      </c>
      <c r="C6" s="17"/>
      <c r="D6" s="24">
        <v>10</v>
      </c>
      <c r="E6" s="18">
        <v>15</v>
      </c>
      <c r="F6" s="24">
        <v>20</v>
      </c>
      <c r="G6" s="18">
        <v>25</v>
      </c>
      <c r="H6" s="24">
        <v>30</v>
      </c>
      <c r="I6" s="18">
        <v>40</v>
      </c>
      <c r="J6" s="24">
        <v>50</v>
      </c>
      <c r="K6" s="46">
        <v>55</v>
      </c>
      <c r="L6" s="26" t="s">
        <v>75</v>
      </c>
      <c r="M6" s="18"/>
      <c r="N6" s="29" t="s">
        <v>28</v>
      </c>
      <c r="O6" s="175" t="str">
        <f t="shared" si="0"/>
        <v>18/60</v>
      </c>
      <c r="P6" s="6"/>
      <c r="Q6" s="33"/>
      <c r="R6" s="7"/>
      <c r="S6" s="33"/>
      <c r="T6" s="8"/>
      <c r="V6" s="137"/>
      <c r="W6" s="43"/>
      <c r="X6" s="43"/>
      <c r="Y6" s="43"/>
      <c r="Z6" s="43"/>
      <c r="AB6" s="57">
        <v>18</v>
      </c>
      <c r="AC6" s="58">
        <v>60</v>
      </c>
      <c r="AD6" s="17"/>
      <c r="AE6" s="24">
        <v>10</v>
      </c>
      <c r="AF6" s="18">
        <v>15</v>
      </c>
      <c r="AG6" s="24">
        <v>20</v>
      </c>
      <c r="AH6" s="18">
        <v>25</v>
      </c>
      <c r="AI6" s="24">
        <v>30</v>
      </c>
      <c r="AJ6" s="18">
        <v>40</v>
      </c>
      <c r="AK6" s="24">
        <v>50</v>
      </c>
      <c r="AL6" s="46">
        <v>55</v>
      </c>
      <c r="AM6" s="26" t="s">
        <v>75</v>
      </c>
      <c r="AN6" s="18"/>
      <c r="AO6" s="29" t="s">
        <v>28</v>
      </c>
      <c r="AP6" s="175" t="str">
        <f t="shared" si="1"/>
        <v>18/60</v>
      </c>
      <c r="AQ6" s="6"/>
      <c r="AR6" s="33">
        <v>30</v>
      </c>
      <c r="AS6" s="7"/>
      <c r="AT6" s="33"/>
      <c r="AU6" s="8"/>
    </row>
    <row r="7" spans="1:49" ht="13.5" customHeight="1" x14ac:dyDescent="0.25">
      <c r="A7" s="57">
        <v>21</v>
      </c>
      <c r="B7" s="58">
        <v>70</v>
      </c>
      <c r="C7" s="17"/>
      <c r="D7" s="24">
        <v>5</v>
      </c>
      <c r="E7" s="18">
        <v>10</v>
      </c>
      <c r="F7" s="24">
        <v>15</v>
      </c>
      <c r="G7" s="18">
        <v>20</v>
      </c>
      <c r="H7" s="24">
        <v>30</v>
      </c>
      <c r="I7" s="18">
        <v>35</v>
      </c>
      <c r="J7" s="24">
        <v>40</v>
      </c>
      <c r="K7" s="46">
        <v>45</v>
      </c>
      <c r="L7" s="26" t="s">
        <v>35</v>
      </c>
      <c r="M7" s="19" t="s">
        <v>32</v>
      </c>
      <c r="N7" s="29" t="s">
        <v>29</v>
      </c>
      <c r="O7" s="175" t="str">
        <f t="shared" si="0"/>
        <v>21/70</v>
      </c>
      <c r="P7" s="6"/>
      <c r="Q7" s="33"/>
      <c r="R7" s="7"/>
      <c r="S7" s="33"/>
      <c r="T7" s="8"/>
      <c r="V7" s="137"/>
      <c r="W7" s="43"/>
      <c r="X7" s="43"/>
      <c r="Y7" s="43"/>
      <c r="Z7" s="43"/>
      <c r="AB7" s="57">
        <v>21</v>
      </c>
      <c r="AC7" s="58">
        <v>70</v>
      </c>
      <c r="AD7" s="17"/>
      <c r="AE7" s="24">
        <v>5</v>
      </c>
      <c r="AF7" s="18">
        <v>10</v>
      </c>
      <c r="AG7" s="24">
        <v>15</v>
      </c>
      <c r="AH7" s="18">
        <v>20</v>
      </c>
      <c r="AI7" s="24">
        <v>30</v>
      </c>
      <c r="AJ7" s="18">
        <v>35</v>
      </c>
      <c r="AK7" s="24">
        <v>40</v>
      </c>
      <c r="AL7" s="46">
        <v>45</v>
      </c>
      <c r="AM7" s="26" t="s">
        <v>35</v>
      </c>
      <c r="AN7" s="19" t="s">
        <v>32</v>
      </c>
      <c r="AO7" s="29" t="s">
        <v>29</v>
      </c>
      <c r="AP7" s="175" t="str">
        <f t="shared" si="1"/>
        <v>21/70</v>
      </c>
      <c r="AQ7" s="6">
        <v>35</v>
      </c>
      <c r="AR7" s="33"/>
      <c r="AS7" s="7"/>
      <c r="AT7" s="33"/>
      <c r="AU7" s="8"/>
      <c r="AV7" s="211" t="s">
        <v>91</v>
      </c>
    </row>
    <row r="8" spans="1:49" ht="13.5" customHeight="1" x14ac:dyDescent="0.25">
      <c r="A8" s="57">
        <v>24</v>
      </c>
      <c r="B8" s="58">
        <v>80</v>
      </c>
      <c r="C8" s="17"/>
      <c r="D8" s="24">
        <v>5</v>
      </c>
      <c r="E8" s="18">
        <v>10</v>
      </c>
      <c r="F8" s="24">
        <v>15</v>
      </c>
      <c r="G8" s="18">
        <v>20</v>
      </c>
      <c r="H8" s="24">
        <v>25</v>
      </c>
      <c r="I8" s="18">
        <v>30</v>
      </c>
      <c r="J8" s="47">
        <v>35</v>
      </c>
      <c r="K8" s="19" t="s">
        <v>40</v>
      </c>
      <c r="L8" s="24"/>
      <c r="M8" s="19" t="s">
        <v>33</v>
      </c>
      <c r="N8" s="29" t="s">
        <v>30</v>
      </c>
      <c r="O8" s="175" t="str">
        <f t="shared" si="0"/>
        <v>24/80</v>
      </c>
      <c r="P8" s="6"/>
      <c r="Q8" s="33"/>
      <c r="R8" s="7"/>
      <c r="S8" s="33"/>
      <c r="T8" s="8"/>
      <c r="V8" s="137"/>
      <c r="W8" s="43"/>
      <c r="X8" s="43"/>
      <c r="Y8" s="43"/>
      <c r="Z8" s="43"/>
      <c r="AB8" s="57">
        <v>24</v>
      </c>
      <c r="AC8" s="58">
        <v>80</v>
      </c>
      <c r="AD8" s="17"/>
      <c r="AE8" s="24">
        <v>5</v>
      </c>
      <c r="AF8" s="18">
        <v>10</v>
      </c>
      <c r="AG8" s="24">
        <v>15</v>
      </c>
      <c r="AH8" s="18">
        <v>20</v>
      </c>
      <c r="AI8" s="24">
        <v>25</v>
      </c>
      <c r="AJ8" s="18">
        <v>30</v>
      </c>
      <c r="AK8" s="47">
        <v>35</v>
      </c>
      <c r="AL8" s="19" t="s">
        <v>40</v>
      </c>
      <c r="AM8" s="24"/>
      <c r="AN8" s="19" t="s">
        <v>33</v>
      </c>
      <c r="AO8" s="29" t="s">
        <v>30</v>
      </c>
      <c r="AP8" s="175" t="str">
        <f t="shared" si="1"/>
        <v>24/80</v>
      </c>
      <c r="AQ8" s="6"/>
      <c r="AR8" s="33"/>
      <c r="AS8" s="7"/>
      <c r="AT8" s="33"/>
      <c r="AU8" s="8"/>
      <c r="AV8" s="211" t="s">
        <v>90</v>
      </c>
    </row>
    <row r="9" spans="1:49" ht="13.5" customHeight="1" x14ac:dyDescent="0.25">
      <c r="A9" s="57">
        <v>27</v>
      </c>
      <c r="B9" s="58">
        <v>90</v>
      </c>
      <c r="C9" s="17"/>
      <c r="D9" s="24">
        <v>5</v>
      </c>
      <c r="E9" s="18">
        <v>10</v>
      </c>
      <c r="F9" s="24">
        <v>12</v>
      </c>
      <c r="G9" s="18">
        <v>15</v>
      </c>
      <c r="H9" s="24">
        <v>20</v>
      </c>
      <c r="I9" s="46">
        <v>25</v>
      </c>
      <c r="J9" s="26" t="s">
        <v>42</v>
      </c>
      <c r="K9" s="18"/>
      <c r="L9" s="26" t="s">
        <v>36</v>
      </c>
      <c r="M9" s="18"/>
      <c r="N9" s="29" t="s">
        <v>31</v>
      </c>
      <c r="O9" s="175" t="str">
        <f t="shared" si="0"/>
        <v>27/90</v>
      </c>
      <c r="P9" s="6"/>
      <c r="Q9" s="33"/>
      <c r="R9" s="7"/>
      <c r="S9" s="33"/>
      <c r="T9" s="8"/>
      <c r="V9" s="137"/>
      <c r="W9" s="43"/>
      <c r="X9" s="43"/>
      <c r="Y9" s="43"/>
      <c r="Z9" s="43"/>
      <c r="AB9" s="57">
        <v>27</v>
      </c>
      <c r="AC9" s="58">
        <v>90</v>
      </c>
      <c r="AD9" s="17"/>
      <c r="AE9" s="24">
        <v>5</v>
      </c>
      <c r="AF9" s="18">
        <v>10</v>
      </c>
      <c r="AG9" s="24">
        <v>12</v>
      </c>
      <c r="AH9" s="18">
        <v>15</v>
      </c>
      <c r="AI9" s="24">
        <v>20</v>
      </c>
      <c r="AJ9" s="46">
        <v>25</v>
      </c>
      <c r="AK9" s="26" t="s">
        <v>42</v>
      </c>
      <c r="AL9" s="18"/>
      <c r="AM9" s="26" t="s">
        <v>36</v>
      </c>
      <c r="AN9" s="18"/>
      <c r="AO9" s="29" t="s">
        <v>31</v>
      </c>
      <c r="AP9" s="175" t="str">
        <f t="shared" si="1"/>
        <v>27/90</v>
      </c>
      <c r="AQ9" s="6"/>
      <c r="AR9" s="33"/>
      <c r="AS9" s="7"/>
      <c r="AT9" s="33"/>
      <c r="AU9" s="8"/>
    </row>
    <row r="10" spans="1:49" ht="13.5" customHeight="1" x14ac:dyDescent="0.25">
      <c r="A10" s="57">
        <v>30</v>
      </c>
      <c r="B10" s="58">
        <v>100</v>
      </c>
      <c r="C10" s="17"/>
      <c r="D10" s="24">
        <v>5</v>
      </c>
      <c r="E10" s="18">
        <v>7</v>
      </c>
      <c r="F10" s="24">
        <v>10</v>
      </c>
      <c r="G10" s="18">
        <v>15</v>
      </c>
      <c r="H10" s="24">
        <v>20</v>
      </c>
      <c r="I10" s="46">
        <v>22</v>
      </c>
      <c r="J10" s="26" t="s">
        <v>43</v>
      </c>
      <c r="K10" s="18"/>
      <c r="L10" s="24"/>
      <c r="M10" s="19" t="s">
        <v>34</v>
      </c>
      <c r="N10" s="30"/>
      <c r="O10" s="175" t="str">
        <f t="shared" si="0"/>
        <v>30/100</v>
      </c>
      <c r="P10" s="6"/>
      <c r="Q10" s="33"/>
      <c r="R10" s="7"/>
      <c r="S10" s="33"/>
      <c r="T10" s="8"/>
      <c r="V10" s="137"/>
      <c r="W10" s="43"/>
      <c r="X10" s="43"/>
      <c r="Y10" s="43"/>
      <c r="Z10" s="43"/>
      <c r="AB10" s="57">
        <v>30</v>
      </c>
      <c r="AC10" s="58">
        <v>100</v>
      </c>
      <c r="AD10" s="17"/>
      <c r="AE10" s="24">
        <v>5</v>
      </c>
      <c r="AF10" s="18">
        <v>7</v>
      </c>
      <c r="AG10" s="24">
        <v>10</v>
      </c>
      <c r="AH10" s="18">
        <v>15</v>
      </c>
      <c r="AI10" s="24">
        <v>20</v>
      </c>
      <c r="AJ10" s="46">
        <v>22</v>
      </c>
      <c r="AK10" s="26" t="s">
        <v>43</v>
      </c>
      <c r="AL10" s="18"/>
      <c r="AM10" s="24"/>
      <c r="AN10" s="19" t="s">
        <v>34</v>
      </c>
      <c r="AO10" s="30"/>
      <c r="AP10" s="175" t="str">
        <f t="shared" si="1"/>
        <v>30/100</v>
      </c>
      <c r="AQ10" s="6"/>
      <c r="AR10" s="33"/>
      <c r="AS10" s="7"/>
      <c r="AT10" s="33"/>
      <c r="AU10" s="8"/>
    </row>
    <row r="11" spans="1:49" ht="13.5" customHeight="1" x14ac:dyDescent="0.25">
      <c r="A11" s="57">
        <v>33</v>
      </c>
      <c r="B11" s="58">
        <v>110</v>
      </c>
      <c r="C11" s="17"/>
      <c r="D11" s="24"/>
      <c r="E11" s="18">
        <v>5</v>
      </c>
      <c r="F11" s="24">
        <v>10</v>
      </c>
      <c r="G11" s="18">
        <v>13</v>
      </c>
      <c r="H11" s="47">
        <v>15</v>
      </c>
      <c r="I11" s="19" t="s">
        <v>44</v>
      </c>
      <c r="J11" s="24"/>
      <c r="K11" s="18"/>
      <c r="L11" s="26" t="s">
        <v>37</v>
      </c>
      <c r="M11" s="18"/>
      <c r="N11" s="30"/>
      <c r="O11" s="175" t="str">
        <f t="shared" si="0"/>
        <v>33/110</v>
      </c>
      <c r="P11" s="6"/>
      <c r="Q11" s="33"/>
      <c r="R11" s="7"/>
      <c r="S11" s="33"/>
      <c r="T11" s="8"/>
      <c r="V11" s="137"/>
      <c r="W11" s="43"/>
      <c r="X11" s="43"/>
      <c r="Y11" s="43"/>
      <c r="Z11" s="43"/>
      <c r="AB11" s="57">
        <v>33</v>
      </c>
      <c r="AC11" s="58">
        <v>110</v>
      </c>
      <c r="AD11" s="17"/>
      <c r="AE11" s="24"/>
      <c r="AF11" s="18">
        <v>5</v>
      </c>
      <c r="AG11" s="24">
        <v>10</v>
      </c>
      <c r="AH11" s="18">
        <v>13</v>
      </c>
      <c r="AI11" s="47">
        <v>15</v>
      </c>
      <c r="AJ11" s="19" t="s">
        <v>44</v>
      </c>
      <c r="AK11" s="24"/>
      <c r="AL11" s="18"/>
      <c r="AM11" s="26" t="s">
        <v>37</v>
      </c>
      <c r="AN11" s="18"/>
      <c r="AO11" s="30"/>
      <c r="AP11" s="175" t="str">
        <f t="shared" si="1"/>
        <v>33/110</v>
      </c>
      <c r="AQ11" s="6"/>
      <c r="AR11" s="33"/>
      <c r="AS11" s="7"/>
      <c r="AT11" s="33"/>
      <c r="AU11" s="8"/>
    </row>
    <row r="12" spans="1:49" ht="13.5" customHeight="1" x14ac:dyDescent="0.25">
      <c r="A12" s="57">
        <v>36</v>
      </c>
      <c r="B12" s="58">
        <v>120</v>
      </c>
      <c r="C12" s="17"/>
      <c r="D12" s="24"/>
      <c r="E12" s="18">
        <v>5</v>
      </c>
      <c r="F12" s="24">
        <v>10</v>
      </c>
      <c r="G12" s="46">
        <v>12</v>
      </c>
      <c r="H12" s="26" t="s">
        <v>45</v>
      </c>
      <c r="I12" s="18"/>
      <c r="J12" s="24"/>
      <c r="K12" s="19" t="s">
        <v>41</v>
      </c>
      <c r="L12" s="26" t="s">
        <v>38</v>
      </c>
      <c r="M12" s="18"/>
      <c r="N12" s="30"/>
      <c r="O12" s="175" t="str">
        <f t="shared" si="0"/>
        <v>36/120</v>
      </c>
      <c r="P12" s="6"/>
      <c r="Q12" s="33"/>
      <c r="R12" s="7"/>
      <c r="S12" s="33"/>
      <c r="T12" s="8"/>
      <c r="V12" s="137"/>
      <c r="W12" s="43"/>
      <c r="X12" s="43"/>
      <c r="Y12" s="43"/>
      <c r="Z12" s="43"/>
      <c r="AB12" s="57">
        <v>36</v>
      </c>
      <c r="AC12" s="58">
        <v>120</v>
      </c>
      <c r="AD12" s="17"/>
      <c r="AE12" s="24"/>
      <c r="AF12" s="18">
        <v>5</v>
      </c>
      <c r="AG12" s="24">
        <v>10</v>
      </c>
      <c r="AH12" s="46">
        <v>12</v>
      </c>
      <c r="AI12" s="26" t="s">
        <v>45</v>
      </c>
      <c r="AJ12" s="18"/>
      <c r="AK12" s="24"/>
      <c r="AL12" s="19" t="s">
        <v>41</v>
      </c>
      <c r="AM12" s="26" t="s">
        <v>38</v>
      </c>
      <c r="AN12" s="18"/>
      <c r="AO12" s="30"/>
      <c r="AP12" s="175" t="str">
        <f t="shared" si="1"/>
        <v>36/120</v>
      </c>
      <c r="AQ12" s="6"/>
      <c r="AR12" s="33"/>
      <c r="AS12" s="7"/>
      <c r="AT12" s="33"/>
      <c r="AU12" s="8"/>
    </row>
    <row r="13" spans="1:49" ht="13.5" customHeight="1" thickBot="1" x14ac:dyDescent="0.3">
      <c r="A13" s="59">
        <v>40</v>
      </c>
      <c r="B13" s="60">
        <v>130</v>
      </c>
      <c r="C13" s="20"/>
      <c r="D13" s="25"/>
      <c r="E13" s="21">
        <v>5</v>
      </c>
      <c r="F13" s="45">
        <v>8</v>
      </c>
      <c r="G13" s="22" t="s">
        <v>46</v>
      </c>
      <c r="H13" s="25"/>
      <c r="I13" s="21"/>
      <c r="J13" s="25"/>
      <c r="K13" s="21"/>
      <c r="L13" s="27" t="s">
        <v>39</v>
      </c>
      <c r="M13" s="21"/>
      <c r="N13" s="40"/>
      <c r="O13" s="176" t="str">
        <f t="shared" si="0"/>
        <v>40/130</v>
      </c>
      <c r="P13" s="9"/>
      <c r="Q13" s="34"/>
      <c r="R13" s="10"/>
      <c r="S13" s="34"/>
      <c r="T13" s="11"/>
      <c r="V13" s="137"/>
      <c r="W13" s="43"/>
      <c r="X13" s="43"/>
      <c r="Y13" s="43"/>
      <c r="Z13" s="43"/>
      <c r="AB13" s="59">
        <v>40</v>
      </c>
      <c r="AC13" s="60">
        <v>130</v>
      </c>
      <c r="AD13" s="20"/>
      <c r="AE13" s="25"/>
      <c r="AF13" s="21">
        <v>5</v>
      </c>
      <c r="AG13" s="45">
        <v>8</v>
      </c>
      <c r="AH13" s="22" t="s">
        <v>46</v>
      </c>
      <c r="AI13" s="25"/>
      <c r="AJ13" s="21"/>
      <c r="AK13" s="25"/>
      <c r="AL13" s="21"/>
      <c r="AM13" s="27" t="s">
        <v>39</v>
      </c>
      <c r="AN13" s="21"/>
      <c r="AO13" s="40"/>
      <c r="AP13" s="176" t="str">
        <f t="shared" si="1"/>
        <v>40/130</v>
      </c>
      <c r="AQ13" s="9"/>
      <c r="AR13" s="34"/>
      <c r="AS13" s="10"/>
      <c r="AT13" s="34"/>
      <c r="AU13" s="11"/>
    </row>
    <row r="14" spans="1:49" ht="5.25" customHeight="1" thickBot="1" x14ac:dyDescent="0.3">
      <c r="A14" s="156"/>
      <c r="B14" s="155"/>
      <c r="C14" s="14"/>
      <c r="D14" s="15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41"/>
      <c r="P14" s="112"/>
      <c r="Q14" s="128"/>
      <c r="R14" s="112"/>
      <c r="S14" s="132"/>
      <c r="T14" s="4"/>
      <c r="V14" s="137"/>
      <c r="W14" s="43"/>
      <c r="X14" s="43"/>
      <c r="Y14" s="43"/>
      <c r="Z14" s="43"/>
      <c r="AB14" s="156"/>
      <c r="AC14" s="155"/>
      <c r="AD14" s="14"/>
      <c r="AE14" s="15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41"/>
      <c r="AQ14" s="112"/>
      <c r="AR14" s="128"/>
      <c r="AS14" s="112"/>
      <c r="AT14" s="132"/>
      <c r="AU14" s="4"/>
    </row>
    <row r="15" spans="1:49" s="2" customFormat="1" ht="22.5" customHeight="1" thickBot="1" x14ac:dyDescent="0.3">
      <c r="A15" s="156"/>
      <c r="B15" s="161" t="s">
        <v>61</v>
      </c>
      <c r="C15" s="36" t="s">
        <v>0</v>
      </c>
      <c r="D15" s="37" t="s">
        <v>1</v>
      </c>
      <c r="E15" s="38" t="s">
        <v>2</v>
      </c>
      <c r="F15" s="37" t="s">
        <v>3</v>
      </c>
      <c r="G15" s="38" t="s">
        <v>4</v>
      </c>
      <c r="H15" s="37" t="s">
        <v>5</v>
      </c>
      <c r="I15" s="38" t="s">
        <v>6</v>
      </c>
      <c r="J15" s="37" t="s">
        <v>7</v>
      </c>
      <c r="K15" s="38" t="s">
        <v>8</v>
      </c>
      <c r="L15" s="37" t="s">
        <v>9</v>
      </c>
      <c r="M15" s="38" t="s">
        <v>10</v>
      </c>
      <c r="N15" s="39" t="s">
        <v>11</v>
      </c>
      <c r="O15" s="183"/>
      <c r="P15" s="233" t="s">
        <v>67</v>
      </c>
      <c r="Q15" s="234"/>
      <c r="R15" s="234"/>
      <c r="S15" s="234"/>
      <c r="T15" s="235"/>
      <c r="V15" s="138"/>
      <c r="W15" s="139"/>
      <c r="X15" s="139"/>
      <c r="Y15" s="139"/>
      <c r="Z15" s="139"/>
      <c r="AB15" s="156"/>
      <c r="AC15" s="161" t="s">
        <v>61</v>
      </c>
      <c r="AD15" s="36" t="s">
        <v>0</v>
      </c>
      <c r="AE15" s="37" t="s">
        <v>1</v>
      </c>
      <c r="AF15" s="38" t="s">
        <v>2</v>
      </c>
      <c r="AG15" s="37" t="s">
        <v>3</v>
      </c>
      <c r="AH15" s="38" t="s">
        <v>4</v>
      </c>
      <c r="AI15" s="37" t="s">
        <v>5</v>
      </c>
      <c r="AJ15" s="38" t="s">
        <v>6</v>
      </c>
      <c r="AK15" s="37" t="s">
        <v>7</v>
      </c>
      <c r="AL15" s="38" t="s">
        <v>8</v>
      </c>
      <c r="AM15" s="37" t="s">
        <v>9</v>
      </c>
      <c r="AN15" s="38" t="s">
        <v>10</v>
      </c>
      <c r="AO15" s="39" t="s">
        <v>11</v>
      </c>
      <c r="AP15" s="183"/>
      <c r="AQ15" s="233" t="s">
        <v>67</v>
      </c>
      <c r="AR15" s="234"/>
      <c r="AS15" s="234"/>
      <c r="AT15" s="234"/>
      <c r="AU15" s="235"/>
      <c r="AV15" s="199"/>
      <c r="AW15" s="199"/>
    </row>
    <row r="16" spans="1:49" ht="9.75" customHeight="1" x14ac:dyDescent="0.2">
      <c r="A16" s="4"/>
      <c r="B16" s="247" t="s">
        <v>71</v>
      </c>
      <c r="C16" s="190">
        <v>6.9444444444444441E-3</v>
      </c>
      <c r="D16" s="91"/>
      <c r="E16" s="90"/>
      <c r="F16" s="91"/>
      <c r="G16" s="90"/>
      <c r="H16" s="91"/>
      <c r="I16" s="90"/>
      <c r="J16" s="91"/>
      <c r="K16" s="90"/>
      <c r="L16" s="91"/>
      <c r="M16" s="90"/>
      <c r="N16" s="193"/>
      <c r="O16" s="141" t="s">
        <v>0</v>
      </c>
      <c r="P16" s="31"/>
      <c r="Q16" s="33"/>
      <c r="R16" s="7"/>
      <c r="S16" s="33"/>
      <c r="T16" s="8"/>
      <c r="V16" s="137"/>
      <c r="W16" s="43"/>
      <c r="X16" s="43"/>
      <c r="Y16" s="43"/>
      <c r="Z16" s="43"/>
      <c r="AB16" s="4"/>
      <c r="AC16" s="247" t="s">
        <v>71</v>
      </c>
      <c r="AD16" s="190">
        <v>6.9444444444444441E-3</v>
      </c>
      <c r="AE16" s="91"/>
      <c r="AF16" s="90"/>
      <c r="AG16" s="91"/>
      <c r="AH16" s="90"/>
      <c r="AI16" s="91"/>
      <c r="AJ16" s="90"/>
      <c r="AK16" s="91"/>
      <c r="AL16" s="90"/>
      <c r="AM16" s="91"/>
      <c r="AN16" s="90"/>
      <c r="AO16" s="193"/>
      <c r="AP16" s="141" t="s">
        <v>0</v>
      </c>
      <c r="AQ16" s="31"/>
      <c r="AR16" s="33"/>
      <c r="AS16" s="7"/>
      <c r="AT16" s="33"/>
      <c r="AU16" s="8"/>
    </row>
    <row r="17" spans="1:48" ht="9.75" customHeight="1" x14ac:dyDescent="0.2">
      <c r="A17" s="4"/>
      <c r="B17" s="247"/>
      <c r="C17" s="191">
        <v>0.13958333333333334</v>
      </c>
      <c r="D17" s="191">
        <v>6.9444444444444441E-3</v>
      </c>
      <c r="E17" s="33"/>
      <c r="F17" s="35"/>
      <c r="G17" s="33"/>
      <c r="H17" s="35"/>
      <c r="I17" s="33"/>
      <c r="J17" s="35"/>
      <c r="K17" s="33"/>
      <c r="L17" s="35"/>
      <c r="M17" s="33"/>
      <c r="N17" s="194"/>
      <c r="O17" s="142" t="s">
        <v>1</v>
      </c>
      <c r="P17" s="31"/>
      <c r="Q17" s="33"/>
      <c r="R17" s="7"/>
      <c r="S17" s="33"/>
      <c r="T17" s="8"/>
      <c r="V17" s="137"/>
      <c r="W17" s="43"/>
      <c r="X17" s="43"/>
      <c r="Y17" s="43"/>
      <c r="Z17" s="43"/>
      <c r="AB17" s="4"/>
      <c r="AC17" s="247"/>
      <c r="AD17" s="191">
        <v>0.13958333333333334</v>
      </c>
      <c r="AE17" s="191">
        <v>6.9444444444444441E-3</v>
      </c>
      <c r="AF17" s="33"/>
      <c r="AG17" s="35"/>
      <c r="AH17" s="33"/>
      <c r="AI17" s="35"/>
      <c r="AJ17" s="33"/>
      <c r="AK17" s="35"/>
      <c r="AL17" s="33"/>
      <c r="AM17" s="35"/>
      <c r="AN17" s="33"/>
      <c r="AO17" s="194"/>
      <c r="AP17" s="142" t="s">
        <v>1</v>
      </c>
      <c r="AQ17" s="31"/>
      <c r="AR17" s="33"/>
      <c r="AS17" s="7"/>
      <c r="AT17" s="33"/>
      <c r="AU17" s="8"/>
    </row>
    <row r="18" spans="1:48" ht="9.75" customHeight="1" x14ac:dyDescent="0.2">
      <c r="A18" s="4"/>
      <c r="B18" s="247"/>
      <c r="C18" s="192">
        <v>0.2013888888888889</v>
      </c>
      <c r="D18" s="192">
        <v>6.9444444444444448E-2</v>
      </c>
      <c r="E18" s="192">
        <v>6.9444444444444441E-3</v>
      </c>
      <c r="F18" s="35"/>
      <c r="G18" s="7"/>
      <c r="H18" s="35"/>
      <c r="I18" s="7"/>
      <c r="J18" s="35"/>
      <c r="K18" s="7"/>
      <c r="L18" s="35"/>
      <c r="M18" s="7"/>
      <c r="N18" s="194"/>
      <c r="O18" s="141" t="s">
        <v>2</v>
      </c>
      <c r="P18" s="31"/>
      <c r="Q18" s="33"/>
      <c r="R18" s="7"/>
      <c r="S18" s="33"/>
      <c r="T18" s="208"/>
      <c r="V18" s="137"/>
      <c r="W18" s="43"/>
      <c r="X18" s="43"/>
      <c r="Y18" s="43"/>
      <c r="Z18" s="43"/>
      <c r="AB18" s="4"/>
      <c r="AC18" s="247"/>
      <c r="AD18" s="192">
        <v>0.2013888888888889</v>
      </c>
      <c r="AE18" s="192">
        <v>6.9444444444444448E-2</v>
      </c>
      <c r="AF18" s="192">
        <v>6.9444444444444441E-3</v>
      </c>
      <c r="AG18" s="35"/>
      <c r="AH18" s="7"/>
      <c r="AI18" s="35"/>
      <c r="AJ18" s="7"/>
      <c r="AK18" s="35"/>
      <c r="AL18" s="7"/>
      <c r="AM18" s="35"/>
      <c r="AN18" s="7"/>
      <c r="AO18" s="194"/>
      <c r="AP18" s="141" t="s">
        <v>2</v>
      </c>
      <c r="AQ18" s="31"/>
      <c r="AR18" s="33"/>
      <c r="AS18" s="7"/>
      <c r="AT18" s="33"/>
      <c r="AU18" s="208"/>
    </row>
    <row r="19" spans="1:48" ht="9.75" customHeight="1" x14ac:dyDescent="0.2">
      <c r="A19" s="4"/>
      <c r="B19" s="247"/>
      <c r="C19" s="191">
        <v>0.24236111111111111</v>
      </c>
      <c r="D19" s="191">
        <v>0.11041666666666666</v>
      </c>
      <c r="E19" s="191">
        <v>4.8611111111111112E-2</v>
      </c>
      <c r="F19" s="191">
        <v>6.9444444444444441E-3</v>
      </c>
      <c r="G19" s="33"/>
      <c r="H19" s="35"/>
      <c r="I19" s="33"/>
      <c r="J19" s="35"/>
      <c r="K19" s="33"/>
      <c r="L19" s="35"/>
      <c r="M19" s="33"/>
      <c r="N19" s="194"/>
      <c r="O19" s="142" t="s">
        <v>3</v>
      </c>
      <c r="P19" s="31"/>
      <c r="Q19" s="33"/>
      <c r="R19" s="7"/>
      <c r="S19" s="33"/>
      <c r="T19" s="8"/>
      <c r="V19" s="137"/>
      <c r="W19" s="43"/>
      <c r="X19" s="43"/>
      <c r="Y19" s="43"/>
      <c r="Z19" s="43"/>
      <c r="AB19" s="4"/>
      <c r="AC19" s="247"/>
      <c r="AD19" s="191">
        <v>0.24236111111111111</v>
      </c>
      <c r="AE19" s="191">
        <v>0.11041666666666666</v>
      </c>
      <c r="AF19" s="191">
        <v>4.8611111111111112E-2</v>
      </c>
      <c r="AG19" s="191">
        <v>6.9444444444444441E-3</v>
      </c>
      <c r="AH19" s="33"/>
      <c r="AI19" s="35"/>
      <c r="AJ19" s="33"/>
      <c r="AK19" s="35"/>
      <c r="AL19" s="33"/>
      <c r="AM19" s="35"/>
      <c r="AN19" s="33"/>
      <c r="AO19" s="194"/>
      <c r="AP19" s="142" t="s">
        <v>3</v>
      </c>
      <c r="AQ19" s="31"/>
      <c r="AR19" s="33"/>
      <c r="AS19" s="7"/>
      <c r="AT19" s="33"/>
      <c r="AU19" s="8"/>
    </row>
    <row r="20" spans="1:48" ht="9.75" customHeight="1" x14ac:dyDescent="0.2">
      <c r="A20" s="4"/>
      <c r="B20" s="248"/>
      <c r="C20" s="192">
        <v>0.27430555555555558</v>
      </c>
      <c r="D20" s="192">
        <v>0.1423611111111111</v>
      </c>
      <c r="E20" s="192">
        <v>8.1944444444444445E-2</v>
      </c>
      <c r="F20" s="192">
        <v>3.8194444444444448E-2</v>
      </c>
      <c r="G20" s="192">
        <v>6.9444444444444441E-3</v>
      </c>
      <c r="H20" s="35"/>
      <c r="I20" s="7"/>
      <c r="J20" s="35"/>
      <c r="K20" s="7"/>
      <c r="L20" s="35"/>
      <c r="M20" s="7"/>
      <c r="N20" s="194"/>
      <c r="O20" s="141" t="s">
        <v>4</v>
      </c>
      <c r="P20" s="31"/>
      <c r="Q20" s="33"/>
      <c r="R20" s="7"/>
      <c r="S20" s="33"/>
      <c r="T20" s="8"/>
      <c r="V20" s="137"/>
      <c r="W20" s="43"/>
      <c r="X20" s="43"/>
      <c r="Y20" s="43"/>
      <c r="Z20" s="43"/>
      <c r="AB20" s="4"/>
      <c r="AC20" s="248"/>
      <c r="AD20" s="192">
        <v>0.27430555555555558</v>
      </c>
      <c r="AE20" s="192">
        <v>0.1423611111111111</v>
      </c>
      <c r="AF20" s="192">
        <v>8.1944444444444445E-2</v>
      </c>
      <c r="AG20" s="192">
        <v>3.8194444444444448E-2</v>
      </c>
      <c r="AH20" s="192">
        <v>6.9444444444444441E-3</v>
      </c>
      <c r="AI20" s="35"/>
      <c r="AJ20" s="7"/>
      <c r="AK20" s="35"/>
      <c r="AL20" s="7"/>
      <c r="AM20" s="35"/>
      <c r="AN20" s="7"/>
      <c r="AO20" s="194"/>
      <c r="AP20" s="141" t="s">
        <v>4</v>
      </c>
      <c r="AQ20" s="31"/>
      <c r="AR20" s="33"/>
      <c r="AS20" s="7"/>
      <c r="AT20" s="33"/>
      <c r="AU20" s="8"/>
    </row>
    <row r="21" spans="1:48" ht="9.75" customHeight="1" x14ac:dyDescent="0.2">
      <c r="A21" s="4"/>
      <c r="B21" s="248"/>
      <c r="C21" s="191">
        <v>0.29583333333333334</v>
      </c>
      <c r="D21" s="191">
        <v>0.16527777777777777</v>
      </c>
      <c r="E21" s="191">
        <v>0.10347222222222222</v>
      </c>
      <c r="F21" s="191">
        <v>6.25E-2</v>
      </c>
      <c r="G21" s="191">
        <v>3.1944444444444442E-2</v>
      </c>
      <c r="H21" s="191">
        <v>6.9444444444444441E-3</v>
      </c>
      <c r="I21" s="33"/>
      <c r="J21" s="35"/>
      <c r="K21" s="33"/>
      <c r="L21" s="35"/>
      <c r="M21" s="33"/>
      <c r="N21" s="194"/>
      <c r="O21" s="142" t="s">
        <v>5</v>
      </c>
      <c r="P21" s="153"/>
      <c r="Q21" s="33"/>
      <c r="R21" s="7"/>
      <c r="S21" s="33"/>
      <c r="T21" s="8"/>
      <c r="V21" s="137"/>
      <c r="W21" s="43"/>
      <c r="X21" s="43"/>
      <c r="Y21" s="43"/>
      <c r="Z21" s="43"/>
      <c r="AB21" s="4"/>
      <c r="AC21" s="248"/>
      <c r="AD21" s="191">
        <v>0.29583333333333334</v>
      </c>
      <c r="AE21" s="191">
        <v>0.16527777777777777</v>
      </c>
      <c r="AF21" s="191">
        <v>0.10347222222222222</v>
      </c>
      <c r="AG21" s="191">
        <v>6.25E-2</v>
      </c>
      <c r="AH21" s="191">
        <v>3.1944444444444442E-2</v>
      </c>
      <c r="AI21" s="191">
        <v>6.9444444444444441E-3</v>
      </c>
      <c r="AJ21" s="33"/>
      <c r="AK21" s="35"/>
      <c r="AL21" s="33"/>
      <c r="AM21" s="35"/>
      <c r="AN21" s="33"/>
      <c r="AO21" s="194"/>
      <c r="AP21" s="142" t="s">
        <v>5</v>
      </c>
      <c r="AQ21" s="153"/>
      <c r="AR21" s="33"/>
      <c r="AS21" s="7"/>
      <c r="AT21" s="33"/>
      <c r="AU21" s="8"/>
    </row>
    <row r="22" spans="1:48" ht="9.75" customHeight="1" x14ac:dyDescent="0.2">
      <c r="A22" s="4"/>
      <c r="B22" s="248"/>
      <c r="C22" s="192">
        <v>0.31666666666666665</v>
      </c>
      <c r="D22" s="192">
        <v>0.18472222222222223</v>
      </c>
      <c r="E22" s="192">
        <v>0.12430555555555556</v>
      </c>
      <c r="F22" s="192">
        <v>8.3333333333333329E-2</v>
      </c>
      <c r="G22" s="192">
        <v>5.2777777777777778E-2</v>
      </c>
      <c r="H22" s="192">
        <v>2.8472222222222222E-2</v>
      </c>
      <c r="I22" s="192">
        <v>6.9444444444444441E-3</v>
      </c>
      <c r="J22" s="35"/>
      <c r="K22" s="7"/>
      <c r="L22" s="35"/>
      <c r="M22" s="7"/>
      <c r="N22" s="194"/>
      <c r="O22" s="141" t="s">
        <v>6</v>
      </c>
      <c r="P22" s="153"/>
      <c r="Q22" s="33"/>
      <c r="R22" s="7"/>
      <c r="S22" s="33"/>
      <c r="T22" s="8"/>
      <c r="V22" s="137"/>
      <c r="W22" s="43"/>
      <c r="X22" s="43"/>
      <c r="Y22" s="43"/>
      <c r="Z22" s="43"/>
      <c r="AB22" s="4"/>
      <c r="AC22" s="248"/>
      <c r="AD22" s="192">
        <v>0.31666666666666665</v>
      </c>
      <c r="AE22" s="192">
        <v>0.18472222222222223</v>
      </c>
      <c r="AF22" s="192">
        <v>0.12430555555555556</v>
      </c>
      <c r="AG22" s="192">
        <v>8.3333333333333329E-2</v>
      </c>
      <c r="AH22" s="192">
        <v>5.2777777777777778E-2</v>
      </c>
      <c r="AI22" s="192">
        <v>2.8472222222222222E-2</v>
      </c>
      <c r="AJ22" s="192">
        <v>6.9444444444444441E-3</v>
      </c>
      <c r="AK22" s="35"/>
      <c r="AL22" s="7"/>
      <c r="AM22" s="35"/>
      <c r="AN22" s="7"/>
      <c r="AO22" s="194"/>
      <c r="AP22" s="141" t="s">
        <v>6</v>
      </c>
      <c r="AQ22" s="153">
        <v>7.2916666666666671E-2</v>
      </c>
      <c r="AR22" s="33"/>
      <c r="AS22" s="7"/>
      <c r="AT22" s="33"/>
      <c r="AU22" s="8"/>
      <c r="AV22" s="115" t="s">
        <v>84</v>
      </c>
    </row>
    <row r="23" spans="1:48" ht="9.75" customHeight="1" x14ac:dyDescent="0.2">
      <c r="A23" s="4"/>
      <c r="B23" s="248"/>
      <c r="C23" s="191">
        <v>0.33333333333333331</v>
      </c>
      <c r="D23" s="191">
        <v>0.2013888888888889</v>
      </c>
      <c r="E23" s="191">
        <v>0.13958333333333334</v>
      </c>
      <c r="F23" s="191">
        <v>0.1</v>
      </c>
      <c r="G23" s="191">
        <v>7.0833333333333331E-2</v>
      </c>
      <c r="H23" s="191">
        <v>4.6527777777777779E-2</v>
      </c>
      <c r="I23" s="191">
        <v>2.5694444444444443E-2</v>
      </c>
      <c r="J23" s="191">
        <v>6.9444444444444441E-3</v>
      </c>
      <c r="K23" s="33"/>
      <c r="L23" s="35"/>
      <c r="M23" s="33"/>
      <c r="N23" s="194"/>
      <c r="O23" s="142" t="s">
        <v>7</v>
      </c>
      <c r="P23" s="31"/>
      <c r="Q23" s="33"/>
      <c r="R23" s="7"/>
      <c r="S23" s="33"/>
      <c r="T23" s="8"/>
      <c r="V23" s="137"/>
      <c r="W23" s="43"/>
      <c r="X23" s="43"/>
      <c r="Y23" s="43"/>
      <c r="Z23" s="43"/>
      <c r="AB23" s="4"/>
      <c r="AC23" s="248"/>
      <c r="AD23" s="191">
        <v>0.33333333333333331</v>
      </c>
      <c r="AE23" s="191">
        <v>0.2013888888888889</v>
      </c>
      <c r="AF23" s="191">
        <v>0.13958333333333334</v>
      </c>
      <c r="AG23" s="191">
        <v>0.1</v>
      </c>
      <c r="AH23" s="191">
        <v>7.0833333333333331E-2</v>
      </c>
      <c r="AI23" s="191">
        <v>4.6527777777777779E-2</v>
      </c>
      <c r="AJ23" s="191">
        <v>2.5694444444444443E-2</v>
      </c>
      <c r="AK23" s="191">
        <v>6.9444444444444441E-3</v>
      </c>
      <c r="AL23" s="33"/>
      <c r="AM23" s="35"/>
      <c r="AN23" s="33"/>
      <c r="AO23" s="194"/>
      <c r="AP23" s="142" t="s">
        <v>7</v>
      </c>
      <c r="AQ23" s="31"/>
      <c r="AR23" s="33"/>
      <c r="AS23" s="7"/>
      <c r="AT23" s="33"/>
      <c r="AU23" s="8"/>
      <c r="AV23" s="115" t="s">
        <v>89</v>
      </c>
    </row>
    <row r="24" spans="1:48" ht="9.75" customHeight="1" x14ac:dyDescent="0.2">
      <c r="A24" s="4"/>
      <c r="B24" s="248"/>
      <c r="C24" s="192">
        <v>0.34861111111111109</v>
      </c>
      <c r="D24" s="192">
        <v>0.21736111111111112</v>
      </c>
      <c r="E24" s="192">
        <v>0.15555555555555556</v>
      </c>
      <c r="F24" s="192">
        <v>0.11458333333333333</v>
      </c>
      <c r="G24" s="192">
        <v>8.5416666666666669E-2</v>
      </c>
      <c r="H24" s="192">
        <v>6.25E-2</v>
      </c>
      <c r="I24" s="192">
        <v>4.1666666666666664E-2</v>
      </c>
      <c r="J24" s="192">
        <v>2.361111111111111E-2</v>
      </c>
      <c r="K24" s="192">
        <v>6.9444444444444441E-3</v>
      </c>
      <c r="L24" s="35"/>
      <c r="M24" s="7"/>
      <c r="N24" s="194"/>
      <c r="O24" s="141" t="s">
        <v>8</v>
      </c>
      <c r="P24" s="31"/>
      <c r="Q24" s="202"/>
      <c r="R24" s="201"/>
      <c r="S24" s="33"/>
      <c r="T24" s="8"/>
      <c r="V24" s="137"/>
      <c r="W24" s="43"/>
      <c r="X24" s="43"/>
      <c r="Y24" s="43"/>
      <c r="Z24" s="43"/>
      <c r="AB24" s="4"/>
      <c r="AC24" s="248"/>
      <c r="AD24" s="192">
        <v>0.34861111111111109</v>
      </c>
      <c r="AE24" s="192">
        <v>0.21736111111111112</v>
      </c>
      <c r="AF24" s="192">
        <v>0.15555555555555556</v>
      </c>
      <c r="AG24" s="192">
        <v>0.11458333333333333</v>
      </c>
      <c r="AH24" s="192">
        <v>8.5416666666666669E-2</v>
      </c>
      <c r="AI24" s="192">
        <v>6.25E-2</v>
      </c>
      <c r="AJ24" s="192">
        <v>4.1666666666666664E-2</v>
      </c>
      <c r="AK24" s="192">
        <v>2.361111111111111E-2</v>
      </c>
      <c r="AL24" s="192">
        <v>6.9444444444444441E-3</v>
      </c>
      <c r="AM24" s="35"/>
      <c r="AN24" s="7"/>
      <c r="AO24" s="194"/>
      <c r="AP24" s="141" t="s">
        <v>8</v>
      </c>
      <c r="AQ24" s="31"/>
      <c r="AR24" s="202"/>
      <c r="AS24" s="201">
        <v>5.2083333333333336E-2</v>
      </c>
      <c r="AT24" s="33"/>
      <c r="AU24" s="8"/>
      <c r="AV24" s="211" t="s">
        <v>88</v>
      </c>
    </row>
    <row r="25" spans="1:48" ht="9.75" customHeight="1" x14ac:dyDescent="0.2">
      <c r="A25" s="4"/>
      <c r="B25" s="248"/>
      <c r="C25" s="191">
        <v>0.36875000000000002</v>
      </c>
      <c r="D25" s="191">
        <v>0.23680555555555555</v>
      </c>
      <c r="E25" s="191">
        <v>0.16875000000000001</v>
      </c>
      <c r="F25" s="191">
        <v>0.12847222222222221</v>
      </c>
      <c r="G25" s="191">
        <v>9.7916666666666666E-2</v>
      </c>
      <c r="H25" s="191">
        <v>7.4999999999999997E-2</v>
      </c>
      <c r="I25" s="191">
        <v>5.5555555555555552E-2</v>
      </c>
      <c r="J25" s="191">
        <v>3.8194444444444448E-2</v>
      </c>
      <c r="K25" s="191">
        <v>2.2222222222222223E-2</v>
      </c>
      <c r="L25" s="191">
        <v>6.9444444444444441E-3</v>
      </c>
      <c r="M25" s="33"/>
      <c r="N25" s="194"/>
      <c r="O25" s="142" t="s">
        <v>9</v>
      </c>
      <c r="P25" s="31"/>
      <c r="Q25" s="202"/>
      <c r="R25" s="7"/>
      <c r="S25" s="202"/>
      <c r="T25" s="8"/>
      <c r="V25" s="137"/>
      <c r="W25" s="43"/>
      <c r="X25" s="43"/>
      <c r="Y25" s="43"/>
      <c r="Z25" s="43"/>
      <c r="AB25" s="4"/>
      <c r="AC25" s="248"/>
      <c r="AD25" s="191">
        <v>0.36875000000000002</v>
      </c>
      <c r="AE25" s="191">
        <v>0.23680555555555555</v>
      </c>
      <c r="AF25" s="191">
        <v>0.16875000000000001</v>
      </c>
      <c r="AG25" s="191">
        <v>0.12847222222222221</v>
      </c>
      <c r="AH25" s="191">
        <v>9.7916666666666666E-2</v>
      </c>
      <c r="AI25" s="191">
        <v>7.4999999999999997E-2</v>
      </c>
      <c r="AJ25" s="191">
        <v>5.5555555555555552E-2</v>
      </c>
      <c r="AK25" s="191">
        <v>3.8194444444444448E-2</v>
      </c>
      <c r="AL25" s="191">
        <v>2.2222222222222223E-2</v>
      </c>
      <c r="AM25" s="191">
        <v>6.9444444444444441E-3</v>
      </c>
      <c r="AN25" s="33"/>
      <c r="AO25" s="194"/>
      <c r="AP25" s="142" t="s">
        <v>9</v>
      </c>
      <c r="AQ25" s="31"/>
      <c r="AR25" s="202">
        <v>0.13541666666666666</v>
      </c>
      <c r="AS25" s="7"/>
      <c r="AT25" s="202">
        <v>0.69444444444444442</v>
      </c>
      <c r="AU25" s="8"/>
    </row>
    <row r="26" spans="1:48" ht="9.75" customHeight="1" x14ac:dyDescent="0.2">
      <c r="A26" s="4"/>
      <c r="B26" s="248"/>
      <c r="C26" s="192">
        <v>0.37430555555555556</v>
      </c>
      <c r="D26" s="192">
        <v>0.24236111111111111</v>
      </c>
      <c r="E26" s="192">
        <v>0.18055555555555555</v>
      </c>
      <c r="F26" s="192">
        <v>0.14027777777777778</v>
      </c>
      <c r="G26" s="192">
        <v>0.11041666666666666</v>
      </c>
      <c r="H26" s="192">
        <v>8.611111111111111E-2</v>
      </c>
      <c r="I26" s="192">
        <v>6.6666666666666666E-2</v>
      </c>
      <c r="J26" s="192">
        <v>0.05</v>
      </c>
      <c r="K26" s="192">
        <v>3.4722222222222224E-2</v>
      </c>
      <c r="L26" s="192">
        <v>2.013888888888889E-2</v>
      </c>
      <c r="M26" s="192">
        <v>6.9444444444444441E-3</v>
      </c>
      <c r="N26" s="194"/>
      <c r="O26" s="141" t="s">
        <v>10</v>
      </c>
      <c r="P26" s="31"/>
      <c r="Q26" s="33"/>
      <c r="R26" s="7"/>
      <c r="S26" s="33"/>
      <c r="T26" s="8"/>
      <c r="V26" s="137"/>
      <c r="W26" s="43"/>
      <c r="X26" s="43"/>
      <c r="Y26" s="43"/>
      <c r="Z26" s="43"/>
      <c r="AB26" s="4"/>
      <c r="AC26" s="248"/>
      <c r="AD26" s="192">
        <v>0.37430555555555556</v>
      </c>
      <c r="AE26" s="192">
        <v>0.24236111111111111</v>
      </c>
      <c r="AF26" s="192">
        <v>0.18055555555555555</v>
      </c>
      <c r="AG26" s="192">
        <v>0.14027777777777778</v>
      </c>
      <c r="AH26" s="192">
        <v>0.11041666666666666</v>
      </c>
      <c r="AI26" s="192">
        <v>8.611111111111111E-2</v>
      </c>
      <c r="AJ26" s="192">
        <v>6.6666666666666666E-2</v>
      </c>
      <c r="AK26" s="192">
        <v>0.05</v>
      </c>
      <c r="AL26" s="192">
        <v>3.4722222222222224E-2</v>
      </c>
      <c r="AM26" s="192">
        <v>2.013888888888889E-2</v>
      </c>
      <c r="AN26" s="192">
        <v>6.9444444444444441E-3</v>
      </c>
      <c r="AO26" s="194"/>
      <c r="AP26" s="141" t="s">
        <v>10</v>
      </c>
      <c r="AQ26" s="31"/>
      <c r="AR26" s="33"/>
      <c r="AS26" s="7"/>
      <c r="AT26" s="33"/>
      <c r="AU26" s="8"/>
    </row>
    <row r="27" spans="1:48" ht="9.75" customHeight="1" thickBot="1" x14ac:dyDescent="0.25">
      <c r="A27" s="4"/>
      <c r="B27" s="248"/>
      <c r="C27" s="81">
        <v>0.3840277777777778</v>
      </c>
      <c r="D27" s="81">
        <v>0.25208333333333333</v>
      </c>
      <c r="E27" s="81">
        <v>0.19166666666666668</v>
      </c>
      <c r="F27" s="81">
        <v>0.15069444444444444</v>
      </c>
      <c r="G27" s="81">
        <v>0.12083333333333333</v>
      </c>
      <c r="H27" s="81">
        <v>9.7222222222222224E-2</v>
      </c>
      <c r="I27" s="81">
        <v>7.6388888888888895E-2</v>
      </c>
      <c r="J27" s="81">
        <v>5.9722222222222225E-2</v>
      </c>
      <c r="K27" s="81">
        <v>4.5138888888888888E-2</v>
      </c>
      <c r="L27" s="81">
        <v>3.1944444444444442E-2</v>
      </c>
      <c r="M27" s="81">
        <v>1.8749999999999999E-2</v>
      </c>
      <c r="N27" s="195">
        <v>6.9444444444444441E-3</v>
      </c>
      <c r="O27" s="143" t="s">
        <v>11</v>
      </c>
      <c r="P27" s="32"/>
      <c r="Q27" s="34"/>
      <c r="R27" s="10"/>
      <c r="S27" s="34"/>
      <c r="T27" s="11"/>
      <c r="V27" s="137"/>
      <c r="W27" s="43"/>
      <c r="X27" s="43"/>
      <c r="Y27" s="43"/>
      <c r="Z27" s="43"/>
      <c r="AB27" s="4"/>
      <c r="AC27" s="248"/>
      <c r="AD27" s="81">
        <v>0.3840277777777778</v>
      </c>
      <c r="AE27" s="81">
        <v>0.25208333333333333</v>
      </c>
      <c r="AF27" s="81">
        <v>0.19166666666666668</v>
      </c>
      <c r="AG27" s="81">
        <v>0.15069444444444444</v>
      </c>
      <c r="AH27" s="81">
        <v>0.12083333333333333</v>
      </c>
      <c r="AI27" s="81">
        <v>9.7222222222222224E-2</v>
      </c>
      <c r="AJ27" s="81">
        <v>7.6388888888888895E-2</v>
      </c>
      <c r="AK27" s="81">
        <v>5.9722222222222225E-2</v>
      </c>
      <c r="AL27" s="81">
        <v>4.5138888888888888E-2</v>
      </c>
      <c r="AM27" s="81">
        <v>3.1944444444444442E-2</v>
      </c>
      <c r="AN27" s="81">
        <v>1.8749999999999999E-2</v>
      </c>
      <c r="AO27" s="195">
        <v>6.9444444444444441E-3</v>
      </c>
      <c r="AP27" s="143" t="s">
        <v>11</v>
      </c>
      <c r="AQ27" s="32"/>
      <c r="AR27" s="34"/>
      <c r="AS27" s="10"/>
      <c r="AT27" s="34"/>
      <c r="AU27" s="11"/>
    </row>
    <row r="28" spans="1:48" ht="14.25" customHeight="1" thickBot="1" x14ac:dyDescent="0.3">
      <c r="B28" s="2" t="s">
        <v>77</v>
      </c>
      <c r="D28" s="115" t="s">
        <v>78</v>
      </c>
      <c r="P28" s="115" t="s">
        <v>79</v>
      </c>
      <c r="Q28" s="125"/>
      <c r="S28" s="125"/>
      <c r="V28" s="137"/>
      <c r="W28" s="43"/>
      <c r="X28" s="43"/>
      <c r="Y28" s="43"/>
      <c r="Z28" s="43"/>
      <c r="AC28" s="2" t="s">
        <v>77</v>
      </c>
      <c r="AE28" s="115" t="s">
        <v>86</v>
      </c>
      <c r="AQ28" s="115" t="s">
        <v>85</v>
      </c>
      <c r="AR28" s="125"/>
      <c r="AT28" s="125"/>
    </row>
    <row r="29" spans="1:48" ht="15.75" thickBot="1" x14ac:dyDescent="0.3">
      <c r="A29" s="157"/>
      <c r="B29" s="158" t="s">
        <v>18</v>
      </c>
      <c r="C29" s="159">
        <v>12</v>
      </c>
      <c r="D29" s="159">
        <v>15</v>
      </c>
      <c r="E29" s="159">
        <v>18</v>
      </c>
      <c r="F29" s="159">
        <v>21</v>
      </c>
      <c r="G29" s="159">
        <v>24</v>
      </c>
      <c r="H29" s="159">
        <v>27</v>
      </c>
      <c r="I29" s="159">
        <v>30</v>
      </c>
      <c r="J29" s="159">
        <v>33</v>
      </c>
      <c r="K29" s="159">
        <v>36</v>
      </c>
      <c r="L29" s="160">
        <v>40</v>
      </c>
      <c r="M29" s="164" t="s">
        <v>68</v>
      </c>
      <c r="N29" s="241" t="s">
        <v>55</v>
      </c>
      <c r="O29" s="3" t="s">
        <v>69</v>
      </c>
      <c r="P29" s="12" t="s">
        <v>76</v>
      </c>
      <c r="Q29" s="127" t="s">
        <v>4</v>
      </c>
      <c r="R29" s="12" t="s">
        <v>3</v>
      </c>
      <c r="S29" s="127" t="s">
        <v>6</v>
      </c>
      <c r="T29" s="13" t="s">
        <v>0</v>
      </c>
      <c r="V29" s="137"/>
      <c r="W29" s="43"/>
      <c r="X29" s="43"/>
      <c r="Y29" s="43"/>
      <c r="Z29" s="43"/>
      <c r="AB29" s="157"/>
      <c r="AC29" s="158" t="s">
        <v>18</v>
      </c>
      <c r="AD29" s="159">
        <v>12</v>
      </c>
      <c r="AE29" s="159">
        <v>15</v>
      </c>
      <c r="AF29" s="159">
        <v>18</v>
      </c>
      <c r="AG29" s="159">
        <v>21</v>
      </c>
      <c r="AH29" s="159">
        <v>24</v>
      </c>
      <c r="AI29" s="159">
        <v>27</v>
      </c>
      <c r="AJ29" s="159">
        <v>30</v>
      </c>
      <c r="AK29" s="159">
        <v>33</v>
      </c>
      <c r="AL29" s="159">
        <v>36</v>
      </c>
      <c r="AM29" s="160">
        <v>40</v>
      </c>
      <c r="AN29" s="164" t="s">
        <v>68</v>
      </c>
      <c r="AO29" s="241" t="s">
        <v>55</v>
      </c>
      <c r="AP29" s="3" t="s">
        <v>69</v>
      </c>
      <c r="AQ29" s="12" t="s">
        <v>76</v>
      </c>
      <c r="AR29" s="127" t="s">
        <v>4</v>
      </c>
      <c r="AS29" s="12" t="s">
        <v>3</v>
      </c>
      <c r="AT29" s="127" t="s">
        <v>6</v>
      </c>
      <c r="AU29" s="13"/>
      <c r="AV29" s="115" t="s">
        <v>87</v>
      </c>
    </row>
    <row r="30" spans="1:48" ht="15.75" thickBot="1" x14ac:dyDescent="0.3">
      <c r="A30" s="244" t="s">
        <v>72</v>
      </c>
      <c r="B30" s="162" t="s">
        <v>4</v>
      </c>
      <c r="C30" s="168"/>
      <c r="D30" s="169"/>
      <c r="E30" s="169"/>
      <c r="F30" s="169"/>
      <c r="G30" s="169"/>
      <c r="H30" s="169"/>
      <c r="I30" s="169"/>
      <c r="J30" s="169"/>
      <c r="K30" s="169"/>
      <c r="L30" s="169"/>
      <c r="M30" s="165">
        <v>1</v>
      </c>
      <c r="N30" s="242"/>
      <c r="O30" s="178" t="s">
        <v>55</v>
      </c>
      <c r="P30" s="7"/>
      <c r="Q30" s="33"/>
      <c r="R30" s="7"/>
      <c r="S30" s="33"/>
      <c r="T30" s="8"/>
      <c r="V30" s="137"/>
      <c r="W30" s="43"/>
      <c r="X30" s="43"/>
      <c r="Y30" s="43"/>
      <c r="Z30" s="43"/>
      <c r="AB30" s="244" t="s">
        <v>72</v>
      </c>
      <c r="AC30" s="162" t="s">
        <v>4</v>
      </c>
      <c r="AD30" s="168">
        <v>50</v>
      </c>
      <c r="AE30" s="169">
        <v>40</v>
      </c>
      <c r="AF30" s="169">
        <v>30</v>
      </c>
      <c r="AG30" s="169">
        <v>30</v>
      </c>
      <c r="AH30" s="169">
        <v>25</v>
      </c>
      <c r="AI30" s="169">
        <v>20</v>
      </c>
      <c r="AJ30" s="169">
        <v>20</v>
      </c>
      <c r="AK30" s="169">
        <v>15</v>
      </c>
      <c r="AL30" s="169"/>
      <c r="AM30" s="169"/>
      <c r="AN30" s="165">
        <v>1</v>
      </c>
      <c r="AO30" s="242"/>
      <c r="AP30" s="178" t="s">
        <v>55</v>
      </c>
      <c r="AQ30" s="7">
        <v>0</v>
      </c>
      <c r="AR30" s="33">
        <v>30</v>
      </c>
      <c r="AS30" s="7">
        <v>40</v>
      </c>
      <c r="AT30" s="33">
        <v>80</v>
      </c>
      <c r="AU30" s="8"/>
      <c r="AV30" s="115" t="s">
        <v>83</v>
      </c>
    </row>
    <row r="31" spans="1:48" ht="15.75" thickBot="1" x14ac:dyDescent="0.3">
      <c r="A31" s="245"/>
      <c r="B31" s="163" t="s">
        <v>3</v>
      </c>
      <c r="C31" s="203"/>
      <c r="D31" s="204"/>
      <c r="E31" s="204"/>
      <c r="F31" s="204"/>
      <c r="G31" s="204"/>
      <c r="H31" s="204"/>
      <c r="I31" s="204"/>
      <c r="J31" s="204"/>
      <c r="K31" s="204"/>
      <c r="L31" s="204"/>
      <c r="M31" s="166">
        <v>2</v>
      </c>
      <c r="N31" s="242"/>
      <c r="O31" s="179" t="s">
        <v>57</v>
      </c>
      <c r="P31" s="7"/>
      <c r="Q31" s="33"/>
      <c r="R31" s="7"/>
      <c r="S31" s="33"/>
      <c r="T31" s="8"/>
      <c r="V31" s="137"/>
      <c r="W31" s="43"/>
      <c r="X31" s="43"/>
      <c r="Y31" s="43"/>
      <c r="Z31" s="43"/>
      <c r="AB31" s="245"/>
      <c r="AC31" s="163" t="s">
        <v>3</v>
      </c>
      <c r="AD31" s="203">
        <v>40</v>
      </c>
      <c r="AE31" s="204">
        <v>30</v>
      </c>
      <c r="AF31" s="204">
        <v>25</v>
      </c>
      <c r="AG31" s="204">
        <v>20</v>
      </c>
      <c r="AH31" s="204">
        <v>20</v>
      </c>
      <c r="AI31" s="204">
        <v>15</v>
      </c>
      <c r="AJ31" s="204">
        <v>15</v>
      </c>
      <c r="AK31" s="204">
        <v>13</v>
      </c>
      <c r="AL31" s="204">
        <v>12</v>
      </c>
      <c r="AM31" s="204"/>
      <c r="AN31" s="166">
        <v>2</v>
      </c>
      <c r="AO31" s="242"/>
      <c r="AP31" s="179" t="s">
        <v>57</v>
      </c>
      <c r="AQ31" s="7">
        <v>32</v>
      </c>
      <c r="AR31" s="33">
        <v>27</v>
      </c>
      <c r="AS31" s="7">
        <v>42</v>
      </c>
      <c r="AT31" s="33">
        <v>22</v>
      </c>
      <c r="AU31" s="8"/>
      <c r="AV31" s="115" t="s">
        <v>97</v>
      </c>
    </row>
    <row r="32" spans="1:48" ht="15.75" thickBot="1" x14ac:dyDescent="0.3">
      <c r="A32" s="245"/>
      <c r="B32" s="163" t="s">
        <v>6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166">
        <v>3</v>
      </c>
      <c r="N32" s="242"/>
      <c r="O32" s="178" t="s">
        <v>56</v>
      </c>
      <c r="P32" s="7"/>
      <c r="Q32" s="33"/>
      <c r="R32" s="7"/>
      <c r="S32" s="33"/>
      <c r="T32" s="8"/>
      <c r="V32" s="137"/>
      <c r="W32" s="43"/>
      <c r="X32" s="43"/>
      <c r="Y32" s="43"/>
      <c r="Z32" s="43"/>
      <c r="AB32" s="245"/>
      <c r="AC32" s="163" t="s">
        <v>6</v>
      </c>
      <c r="AD32" s="203">
        <v>80</v>
      </c>
      <c r="AE32" s="204">
        <v>60</v>
      </c>
      <c r="AF32" s="204">
        <v>50</v>
      </c>
      <c r="AG32" s="204">
        <v>40</v>
      </c>
      <c r="AH32" s="204">
        <v>35</v>
      </c>
      <c r="AI32" s="204"/>
      <c r="AJ32" s="204"/>
      <c r="AK32" s="204"/>
      <c r="AL32" s="204"/>
      <c r="AM32" s="204"/>
      <c r="AN32" s="166">
        <v>3</v>
      </c>
      <c r="AO32" s="242"/>
      <c r="AP32" s="178" t="s">
        <v>56</v>
      </c>
      <c r="AQ32" s="7">
        <v>32</v>
      </c>
      <c r="AR32" s="33">
        <v>57</v>
      </c>
      <c r="AS32" s="7">
        <v>82</v>
      </c>
      <c r="AT32" s="33">
        <v>102</v>
      </c>
      <c r="AU32" s="8"/>
    </row>
    <row r="33" spans="1:48" ht="15.75" thickBot="1" x14ac:dyDescent="0.3">
      <c r="A33" s="246"/>
      <c r="B33" s="163" t="s">
        <v>0</v>
      </c>
      <c r="C33" s="205"/>
      <c r="D33" s="206"/>
      <c r="E33" s="206"/>
      <c r="F33" s="206"/>
      <c r="G33" s="206"/>
      <c r="H33" s="206"/>
      <c r="I33" s="206"/>
      <c r="J33" s="206"/>
      <c r="K33" s="206"/>
      <c r="L33" s="206"/>
      <c r="M33" s="167">
        <v>4</v>
      </c>
      <c r="N33" s="243"/>
      <c r="O33" s="180" t="s">
        <v>70</v>
      </c>
      <c r="P33" s="10"/>
      <c r="Q33" s="34"/>
      <c r="R33" s="10"/>
      <c r="S33" s="34"/>
      <c r="T33" s="11"/>
      <c r="V33" s="137"/>
      <c r="W33" s="43"/>
      <c r="X33" s="43"/>
      <c r="Y33" s="43"/>
      <c r="Z33" s="43"/>
      <c r="AB33" s="246"/>
      <c r="AC33" s="163" t="s">
        <v>0</v>
      </c>
      <c r="AD33" s="205">
        <v>15</v>
      </c>
      <c r="AE33" s="206">
        <v>10</v>
      </c>
      <c r="AF33" s="206">
        <v>10</v>
      </c>
      <c r="AG33" s="206">
        <v>5</v>
      </c>
      <c r="AH33" s="206">
        <v>5</v>
      </c>
      <c r="AI33" s="206">
        <v>5</v>
      </c>
      <c r="AJ33" s="206">
        <v>5</v>
      </c>
      <c r="AK33" s="206"/>
      <c r="AL33" s="206"/>
      <c r="AM33" s="206"/>
      <c r="AN33" s="167">
        <v>4</v>
      </c>
      <c r="AO33" s="243"/>
      <c r="AP33" s="180" t="s">
        <v>70</v>
      </c>
      <c r="AQ33" s="10" t="s">
        <v>6</v>
      </c>
      <c r="AR33" s="34" t="s">
        <v>9</v>
      </c>
      <c r="AS33" s="10" t="s">
        <v>8</v>
      </c>
      <c r="AT33" s="34" t="s">
        <v>9</v>
      </c>
      <c r="AU33" s="11"/>
      <c r="AV33" s="115" t="s">
        <v>98</v>
      </c>
    </row>
    <row r="34" spans="1:48" ht="4.5" customHeight="1" thickBot="1" x14ac:dyDescent="0.3">
      <c r="V34" s="137"/>
      <c r="W34" s="43"/>
      <c r="X34" s="43"/>
      <c r="Y34" s="43"/>
      <c r="Z34" s="43"/>
    </row>
    <row r="35" spans="1:48" s="115" customFormat="1" ht="15.75" customHeight="1" thickBot="1" x14ac:dyDescent="0.3">
      <c r="A35" s="184" t="s">
        <v>62</v>
      </c>
      <c r="B35" s="189"/>
      <c r="C35" s="188"/>
      <c r="D35" s="134"/>
      <c r="E35" s="134"/>
      <c r="F35" s="134"/>
      <c r="G35" s="140" t="s">
        <v>65</v>
      </c>
      <c r="H35" s="133"/>
      <c r="I35" s="134"/>
      <c r="J35" s="134"/>
      <c r="K35" s="134"/>
      <c r="L35" s="134"/>
      <c r="M35" s="145"/>
      <c r="N35" s="146"/>
      <c r="O35" s="147" t="s">
        <v>63</v>
      </c>
      <c r="P35" s="116"/>
      <c r="Q35" s="129"/>
      <c r="R35" s="117"/>
      <c r="S35" s="129"/>
      <c r="T35" s="118"/>
      <c r="V35" s="236" t="s">
        <v>66</v>
      </c>
      <c r="W35" s="43"/>
      <c r="X35" s="43"/>
      <c r="Y35" s="43"/>
      <c r="Z35" s="43"/>
      <c r="AA35" s="1"/>
      <c r="AB35" s="212" t="s">
        <v>62</v>
      </c>
      <c r="AC35" s="189"/>
      <c r="AD35" s="188"/>
      <c r="AE35" s="134"/>
      <c r="AF35" s="134"/>
      <c r="AG35" s="134"/>
      <c r="AH35" s="140" t="s">
        <v>65</v>
      </c>
      <c r="AI35" s="133"/>
      <c r="AJ35" s="134"/>
      <c r="AK35" s="134"/>
      <c r="AL35" s="134"/>
      <c r="AM35" s="134"/>
      <c r="AN35" s="145"/>
      <c r="AO35" s="146"/>
      <c r="AP35" s="147" t="s">
        <v>63</v>
      </c>
      <c r="AQ35" s="116"/>
      <c r="AR35" s="129"/>
      <c r="AS35" s="117"/>
      <c r="AT35" s="129"/>
      <c r="AU35" s="118"/>
      <c r="AV35" s="115" t="s">
        <v>82</v>
      </c>
    </row>
    <row r="36" spans="1:48" s="115" customFormat="1" x14ac:dyDescent="0.25">
      <c r="A36" s="116"/>
      <c r="B36" s="117"/>
      <c r="C36" s="185"/>
      <c r="D36" s="117"/>
      <c r="E36" s="117"/>
      <c r="F36" s="117"/>
      <c r="G36" s="117"/>
      <c r="H36" s="117"/>
      <c r="I36" s="117"/>
      <c r="J36" s="117"/>
      <c r="K36" s="117"/>
      <c r="L36" s="145"/>
      <c r="M36" s="148"/>
      <c r="N36" s="149"/>
      <c r="O36" s="150" t="s">
        <v>64</v>
      </c>
      <c r="P36" s="119"/>
      <c r="Q36" s="130"/>
      <c r="R36" s="120"/>
      <c r="S36" s="130"/>
      <c r="T36" s="121"/>
      <c r="V36" s="236"/>
      <c r="W36" s="43"/>
      <c r="X36" s="43"/>
      <c r="Y36" s="43"/>
      <c r="Z36" s="43"/>
      <c r="AA36" s="1"/>
      <c r="AB36" s="116"/>
      <c r="AC36" s="117"/>
      <c r="AD36" s="185"/>
      <c r="AE36" s="117"/>
      <c r="AF36" s="117"/>
      <c r="AG36" s="117"/>
      <c r="AH36" s="117"/>
      <c r="AI36" s="117"/>
      <c r="AJ36" s="117"/>
      <c r="AK36" s="117"/>
      <c r="AL36" s="117"/>
      <c r="AM36" s="145"/>
      <c r="AN36" s="148"/>
      <c r="AO36" s="149"/>
      <c r="AP36" s="150" t="s">
        <v>64</v>
      </c>
      <c r="AQ36" s="119"/>
      <c r="AR36" s="130"/>
      <c r="AS36" s="120"/>
      <c r="AT36" s="130"/>
      <c r="AU36" s="121"/>
      <c r="AV36" s="115" t="s">
        <v>81</v>
      </c>
    </row>
    <row r="37" spans="1:48" s="115" customFormat="1" ht="15.75" thickBot="1" x14ac:dyDescent="0.3">
      <c r="A37" s="122"/>
      <c r="B37" s="123"/>
      <c r="C37" s="186"/>
      <c r="D37" s="123"/>
      <c r="E37" s="123"/>
      <c r="F37" s="123"/>
      <c r="G37" s="123"/>
      <c r="H37" s="123"/>
      <c r="I37" s="123"/>
      <c r="J37" s="123"/>
      <c r="K37" s="123"/>
      <c r="L37" s="151"/>
      <c r="M37" s="151"/>
      <c r="N37" s="152"/>
      <c r="O37" s="187" t="s">
        <v>74</v>
      </c>
      <c r="P37" s="122"/>
      <c r="Q37" s="131"/>
      <c r="R37" s="123"/>
      <c r="S37" s="131"/>
      <c r="T37" s="124"/>
      <c r="V37" s="236"/>
      <c r="W37" s="43"/>
      <c r="X37" s="43"/>
      <c r="Y37" s="43"/>
      <c r="Z37" s="43"/>
      <c r="AA37" s="1"/>
      <c r="AB37" s="122"/>
      <c r="AC37" s="123"/>
      <c r="AD37" s="186"/>
      <c r="AE37" s="123"/>
      <c r="AF37" s="123"/>
      <c r="AG37" s="123"/>
      <c r="AH37" s="123"/>
      <c r="AI37" s="123"/>
      <c r="AJ37" s="123"/>
      <c r="AK37" s="123"/>
      <c r="AL37" s="123"/>
      <c r="AM37" s="151"/>
      <c r="AN37" s="151"/>
      <c r="AO37" s="152"/>
      <c r="AP37" s="187" t="s">
        <v>74</v>
      </c>
      <c r="AQ37" s="122"/>
      <c r="AR37" s="131"/>
      <c r="AS37" s="123"/>
      <c r="AT37" s="131"/>
      <c r="AU37" s="124"/>
    </row>
  </sheetData>
  <sheetProtection algorithmName="SHA-512" hashValue="AePQjPmQ4BTby/WD5Iosvk3STUu8WwT3LMvOE/srUjJyP3WG2jZ1TVGl8b7pKUXpC3HOuAchAYX8z/8fWEtTdg==" saltValue="kI6e8mtSvjBgE9ttTnqB8A==" spinCount="100000" sheet="1" objects="1" scenarios="1"/>
  <mergeCells count="17">
    <mergeCell ref="AD2:AO2"/>
    <mergeCell ref="AQ15:AU15"/>
    <mergeCell ref="P15:T15"/>
    <mergeCell ref="V35:V37"/>
    <mergeCell ref="A1:B1"/>
    <mergeCell ref="C1:N1"/>
    <mergeCell ref="C2:N2"/>
    <mergeCell ref="A2:B2"/>
    <mergeCell ref="N29:N33"/>
    <mergeCell ref="A30:A33"/>
    <mergeCell ref="B16:B27"/>
    <mergeCell ref="AC16:AC27"/>
    <mergeCell ref="AO29:AO33"/>
    <mergeCell ref="AB30:AB33"/>
    <mergeCell ref="AB1:AC1"/>
    <mergeCell ref="AD1:AO1"/>
    <mergeCell ref="AB2:AC2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  <headerFooter>
    <oddHeader>&amp;LDiver:  _______________________&amp;CDate: ______________________&amp;R LOG Page __________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219AB36-DA95-4EE3-A6E4-2EFB21456B28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4RedToBlack" iconId="3"/>
              <x14:cfIcon iconSet="4RedToBlack" iconId="3"/>
            </x14:iconSet>
          </x14:cfRule>
          <xm:sqref>M4 L5 K6:K7 J8 I9:I10 H11 G12 F13</xm:sqref>
        </x14:conditionalFormatting>
        <x14:conditionalFormatting xmlns:xm="http://schemas.microsoft.com/office/excel/2006/main">
          <x14:cfRule type="iconSet" priority="1" id="{03F23284-33DC-4792-8C46-A8F6ECBA6C50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4RedToBlack" iconId="3"/>
              <x14:cfIcon iconSet="4RedToBlack" iconId="3"/>
            </x14:iconSet>
          </x14:cfRule>
          <xm:sqref>AN4 AM5 AL6:AL7 AK8 AJ9:AJ10 AI11 AH12 AG13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A6AB-F9BD-4FE1-B462-D17A67FD7256}">
  <dimension ref="A1:Z41"/>
  <sheetViews>
    <sheetView topLeftCell="A24" zoomScale="130" zoomScaleNormal="130" workbookViewId="0">
      <selection activeCell="Z41" sqref="A1:Z41"/>
    </sheetView>
  </sheetViews>
  <sheetFormatPr defaultRowHeight="11.25" x14ac:dyDescent="0.2"/>
  <cols>
    <col min="1" max="1" width="2.42578125" style="48" bestFit="1" customWidth="1"/>
    <col min="2" max="2" width="6.28515625" style="48" bestFit="1" customWidth="1"/>
    <col min="3" max="3" width="3.5703125" style="48" bestFit="1" customWidth="1"/>
    <col min="4" max="7" width="2.7109375" style="48" bestFit="1" customWidth="1"/>
    <col min="8" max="11" width="3.5703125" style="48" bestFit="1" customWidth="1"/>
    <col min="12" max="12" width="5.140625" style="48" bestFit="1" customWidth="1"/>
    <col min="13" max="14" width="6" style="48" customWidth="1"/>
    <col min="15" max="26" width="6.85546875" style="48" customWidth="1"/>
    <col min="27" max="16384" width="9.140625" style="48"/>
  </cols>
  <sheetData>
    <row r="1" spans="1:26" x14ac:dyDescent="0.2">
      <c r="B1" s="49" t="s">
        <v>53</v>
      </c>
      <c r="M1" s="49" t="s">
        <v>21</v>
      </c>
      <c r="N1" s="50"/>
      <c r="R1" s="231">
        <v>0</v>
      </c>
      <c r="S1" s="51" t="s">
        <v>24</v>
      </c>
      <c r="T1" s="52"/>
      <c r="U1" s="213" t="s">
        <v>23</v>
      </c>
      <c r="V1" s="53" t="s">
        <v>20</v>
      </c>
      <c r="W1" s="53"/>
      <c r="X1" s="53"/>
    </row>
    <row r="2" spans="1:26" ht="12" thickBot="1" x14ac:dyDescent="0.25">
      <c r="B2" s="49" t="s">
        <v>54</v>
      </c>
      <c r="R2" s="232"/>
      <c r="S2" s="54" t="s">
        <v>25</v>
      </c>
      <c r="T2" s="55"/>
      <c r="U2" s="214"/>
      <c r="V2" s="48" t="s">
        <v>22</v>
      </c>
    </row>
    <row r="3" spans="1:26" ht="12" thickBot="1" x14ac:dyDescent="0.25">
      <c r="M3" s="217" t="s">
        <v>13</v>
      </c>
      <c r="N3" s="218"/>
      <c r="O3" s="219" t="s">
        <v>14</v>
      </c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 spans="1:26" x14ac:dyDescent="0.2">
      <c r="B4" s="104" t="s">
        <v>55</v>
      </c>
      <c r="C4" s="105" t="s">
        <v>58</v>
      </c>
      <c r="D4" s="105"/>
      <c r="E4" s="105"/>
      <c r="F4" s="105"/>
      <c r="G4" s="105"/>
      <c r="H4" s="106"/>
      <c r="M4" s="3" t="s">
        <v>18</v>
      </c>
      <c r="N4" s="15" t="s">
        <v>12</v>
      </c>
      <c r="O4" s="16" t="s">
        <v>0</v>
      </c>
      <c r="P4" s="23" t="s">
        <v>1</v>
      </c>
      <c r="Q4" s="5" t="s">
        <v>2</v>
      </c>
      <c r="R4" s="23" t="s">
        <v>3</v>
      </c>
      <c r="S4" s="5" t="s">
        <v>4</v>
      </c>
      <c r="T4" s="23" t="s">
        <v>5</v>
      </c>
      <c r="U4" s="5" t="s">
        <v>6</v>
      </c>
      <c r="V4" s="23" t="s">
        <v>7</v>
      </c>
      <c r="W4" s="5" t="s">
        <v>8</v>
      </c>
      <c r="X4" s="23" t="s">
        <v>9</v>
      </c>
      <c r="Y4" s="5" t="s">
        <v>10</v>
      </c>
      <c r="Z4" s="28" t="s">
        <v>11</v>
      </c>
    </row>
    <row r="5" spans="1:26" ht="12" thickBot="1" x14ac:dyDescent="0.25">
      <c r="B5" s="107" t="s">
        <v>57</v>
      </c>
      <c r="C5" s="56" t="s">
        <v>59</v>
      </c>
      <c r="D5" s="56"/>
      <c r="E5" s="56"/>
      <c r="F5" s="56"/>
      <c r="G5" s="56"/>
      <c r="H5" s="108"/>
      <c r="I5" s="56"/>
      <c r="J5" s="56"/>
      <c r="K5" s="56"/>
      <c r="L5" s="56"/>
      <c r="M5" s="57">
        <v>12</v>
      </c>
      <c r="N5" s="58">
        <v>40</v>
      </c>
      <c r="O5" s="17">
        <v>5</v>
      </c>
      <c r="P5" s="24">
        <v>15</v>
      </c>
      <c r="Q5" s="18">
        <v>25</v>
      </c>
      <c r="R5" s="24">
        <v>30</v>
      </c>
      <c r="S5" s="18">
        <v>40</v>
      </c>
      <c r="T5" s="24">
        <v>50</v>
      </c>
      <c r="U5" s="18">
        <v>70</v>
      </c>
      <c r="V5" s="24">
        <v>80</v>
      </c>
      <c r="W5" s="18">
        <v>100</v>
      </c>
      <c r="X5" s="24">
        <v>110</v>
      </c>
      <c r="Y5" s="46">
        <v>130</v>
      </c>
      <c r="Z5" s="29" t="s">
        <v>26</v>
      </c>
    </row>
    <row r="6" spans="1:26" x14ac:dyDescent="0.2">
      <c r="B6" s="109" t="s">
        <v>56</v>
      </c>
      <c r="C6" s="110" t="s">
        <v>60</v>
      </c>
      <c r="D6" s="110"/>
      <c r="E6" s="110"/>
      <c r="F6" s="110"/>
      <c r="G6" s="110"/>
      <c r="H6" s="111"/>
      <c r="M6" s="57">
        <v>15</v>
      </c>
      <c r="N6" s="58">
        <v>50</v>
      </c>
      <c r="O6" s="17"/>
      <c r="P6" s="24">
        <v>10</v>
      </c>
      <c r="Q6" s="18">
        <v>15</v>
      </c>
      <c r="R6" s="24">
        <v>25</v>
      </c>
      <c r="S6" s="18">
        <v>30</v>
      </c>
      <c r="T6" s="24">
        <v>40</v>
      </c>
      <c r="U6" s="18">
        <v>50</v>
      </c>
      <c r="V6" s="24">
        <v>60</v>
      </c>
      <c r="W6" s="18">
        <v>70</v>
      </c>
      <c r="X6" s="47">
        <v>80</v>
      </c>
      <c r="Y6" s="18"/>
      <c r="Z6" s="29" t="s">
        <v>27</v>
      </c>
    </row>
    <row r="7" spans="1:26" x14ac:dyDescent="0.2">
      <c r="B7" s="56"/>
      <c r="D7" s="56"/>
      <c r="E7" s="56"/>
      <c r="F7" s="56"/>
      <c r="G7" s="56"/>
      <c r="H7" s="56"/>
      <c r="I7" s="56"/>
      <c r="J7" s="56"/>
      <c r="K7" s="56"/>
      <c r="L7" s="56"/>
      <c r="M7" s="57">
        <v>18</v>
      </c>
      <c r="N7" s="58">
        <v>60</v>
      </c>
      <c r="O7" s="17"/>
      <c r="P7" s="24">
        <v>10</v>
      </c>
      <c r="Q7" s="18">
        <v>15</v>
      </c>
      <c r="R7" s="24">
        <v>20</v>
      </c>
      <c r="S7" s="18">
        <v>25</v>
      </c>
      <c r="T7" s="24">
        <v>30</v>
      </c>
      <c r="U7" s="18">
        <v>40</v>
      </c>
      <c r="V7" s="24">
        <v>50</v>
      </c>
      <c r="W7" s="46">
        <v>55</v>
      </c>
      <c r="X7" s="29" t="s">
        <v>75</v>
      </c>
      <c r="Y7" s="18"/>
      <c r="Z7" s="29" t="s">
        <v>28</v>
      </c>
    </row>
    <row r="8" spans="1:26" x14ac:dyDescent="0.2">
      <c r="B8" s="56"/>
      <c r="D8" s="56"/>
      <c r="M8" s="57">
        <v>21</v>
      </c>
      <c r="N8" s="58">
        <v>70</v>
      </c>
      <c r="O8" s="17"/>
      <c r="P8" s="24">
        <v>5</v>
      </c>
      <c r="Q8" s="18">
        <v>10</v>
      </c>
      <c r="R8" s="24">
        <v>15</v>
      </c>
      <c r="S8" s="18">
        <v>20</v>
      </c>
      <c r="T8" s="24">
        <v>30</v>
      </c>
      <c r="U8" s="18">
        <v>35</v>
      </c>
      <c r="V8" s="24">
        <v>40</v>
      </c>
      <c r="W8" s="46">
        <v>45</v>
      </c>
      <c r="X8" s="26" t="s">
        <v>35</v>
      </c>
      <c r="Y8" s="19" t="s">
        <v>32</v>
      </c>
      <c r="Z8" s="29" t="s">
        <v>29</v>
      </c>
    </row>
    <row r="9" spans="1:26" x14ac:dyDescent="0.2">
      <c r="B9" s="56"/>
      <c r="D9" s="56"/>
      <c r="F9" s="56"/>
      <c r="G9" s="56"/>
      <c r="H9" s="56"/>
      <c r="I9" s="56"/>
      <c r="J9" s="56"/>
      <c r="K9" s="56"/>
      <c r="L9" s="56"/>
      <c r="M9" s="57">
        <v>24</v>
      </c>
      <c r="N9" s="58">
        <v>80</v>
      </c>
      <c r="O9" s="17"/>
      <c r="P9" s="24">
        <v>5</v>
      </c>
      <c r="Q9" s="18">
        <v>10</v>
      </c>
      <c r="R9" s="24">
        <v>15</v>
      </c>
      <c r="S9" s="18">
        <v>20</v>
      </c>
      <c r="T9" s="24">
        <v>25</v>
      </c>
      <c r="U9" s="18">
        <v>30</v>
      </c>
      <c r="V9" s="47">
        <v>35</v>
      </c>
      <c r="W9" s="19" t="s">
        <v>40</v>
      </c>
      <c r="X9" s="24"/>
      <c r="Y9" s="19" t="s">
        <v>33</v>
      </c>
      <c r="Z9" s="29" t="s">
        <v>30</v>
      </c>
    </row>
    <row r="10" spans="1:26" x14ac:dyDescent="0.2">
      <c r="B10" s="56"/>
      <c r="D10" s="56"/>
      <c r="F10" s="56"/>
      <c r="M10" s="57">
        <v>27</v>
      </c>
      <c r="N10" s="58">
        <v>90</v>
      </c>
      <c r="O10" s="17"/>
      <c r="P10" s="24">
        <v>5</v>
      </c>
      <c r="Q10" s="18">
        <v>10</v>
      </c>
      <c r="R10" s="24">
        <v>12</v>
      </c>
      <c r="S10" s="18">
        <v>15</v>
      </c>
      <c r="T10" s="24">
        <v>20</v>
      </c>
      <c r="U10" s="46">
        <v>25</v>
      </c>
      <c r="V10" s="26" t="s">
        <v>42</v>
      </c>
      <c r="W10" s="18"/>
      <c r="X10" s="26" t="s">
        <v>36</v>
      </c>
      <c r="Y10" s="18"/>
      <c r="Z10" s="29" t="s">
        <v>31</v>
      </c>
    </row>
    <row r="11" spans="1:26" x14ac:dyDescent="0.2">
      <c r="B11" s="56"/>
      <c r="D11" s="56"/>
      <c r="F11" s="56"/>
      <c r="H11" s="56"/>
      <c r="I11" s="56"/>
      <c r="J11" s="56"/>
      <c r="K11" s="56"/>
      <c r="L11" s="56"/>
      <c r="M11" s="57">
        <v>30</v>
      </c>
      <c r="N11" s="58">
        <v>100</v>
      </c>
      <c r="O11" s="17"/>
      <c r="P11" s="24">
        <v>5</v>
      </c>
      <c r="Q11" s="18">
        <v>7</v>
      </c>
      <c r="R11" s="24">
        <v>10</v>
      </c>
      <c r="S11" s="18">
        <v>15</v>
      </c>
      <c r="T11" s="24">
        <v>20</v>
      </c>
      <c r="U11" s="46">
        <v>22</v>
      </c>
      <c r="V11" s="26" t="s">
        <v>43</v>
      </c>
      <c r="W11" s="18"/>
      <c r="X11" s="24"/>
      <c r="Y11" s="19" t="s">
        <v>34</v>
      </c>
      <c r="Z11" s="30"/>
    </row>
    <row r="12" spans="1:26" ht="12" thickBot="1" x14ac:dyDescent="0.25">
      <c r="B12" s="56"/>
      <c r="D12" s="56"/>
      <c r="F12" s="56"/>
      <c r="H12" s="56"/>
      <c r="M12" s="57">
        <v>33</v>
      </c>
      <c r="N12" s="58">
        <v>110</v>
      </c>
      <c r="O12" s="17"/>
      <c r="P12" s="24"/>
      <c r="Q12" s="18">
        <v>5</v>
      </c>
      <c r="R12" s="24">
        <v>10</v>
      </c>
      <c r="S12" s="18">
        <v>13</v>
      </c>
      <c r="T12" s="47">
        <v>15</v>
      </c>
      <c r="U12" s="19" t="s">
        <v>44</v>
      </c>
      <c r="V12" s="24"/>
      <c r="W12" s="18"/>
      <c r="X12" s="26" t="s">
        <v>37</v>
      </c>
      <c r="Y12" s="18"/>
      <c r="Z12" s="30"/>
    </row>
    <row r="13" spans="1:26" x14ac:dyDescent="0.2">
      <c r="A13" s="100" t="s">
        <v>19</v>
      </c>
      <c r="B13" s="102" t="s">
        <v>51</v>
      </c>
      <c r="D13" s="56"/>
      <c r="F13" s="56"/>
      <c r="H13" s="56"/>
      <c r="J13" s="56"/>
      <c r="K13" s="56"/>
      <c r="L13" s="56"/>
      <c r="M13" s="57">
        <v>36</v>
      </c>
      <c r="N13" s="58">
        <v>120</v>
      </c>
      <c r="O13" s="17"/>
      <c r="P13" s="24"/>
      <c r="Q13" s="18">
        <v>5</v>
      </c>
      <c r="R13" s="24">
        <v>10</v>
      </c>
      <c r="S13" s="46">
        <v>12</v>
      </c>
      <c r="T13" s="26" t="s">
        <v>45</v>
      </c>
      <c r="U13" s="18"/>
      <c r="V13" s="24"/>
      <c r="W13" s="19" t="s">
        <v>41</v>
      </c>
      <c r="X13" s="26" t="s">
        <v>38</v>
      </c>
      <c r="Y13" s="18"/>
      <c r="Z13" s="30"/>
    </row>
    <row r="14" spans="1:26" ht="12" thickBot="1" x14ac:dyDescent="0.25">
      <c r="A14" s="101" t="s">
        <v>19</v>
      </c>
      <c r="B14" s="103" t="s">
        <v>52</v>
      </c>
      <c r="D14" s="56"/>
      <c r="F14" s="56"/>
      <c r="H14" s="56"/>
      <c r="J14" s="56"/>
      <c r="M14" s="59">
        <v>40</v>
      </c>
      <c r="N14" s="60">
        <v>130</v>
      </c>
      <c r="O14" s="20"/>
      <c r="P14" s="25"/>
      <c r="Q14" s="21">
        <v>5</v>
      </c>
      <c r="R14" s="45">
        <v>8</v>
      </c>
      <c r="S14" s="22" t="s">
        <v>46</v>
      </c>
      <c r="T14" s="25"/>
      <c r="U14" s="21"/>
      <c r="V14" s="25"/>
      <c r="W14" s="21"/>
      <c r="X14" s="27" t="s">
        <v>39</v>
      </c>
      <c r="Y14" s="21"/>
      <c r="Z14" s="40"/>
    </row>
    <row r="15" spans="1:26" ht="12" thickBot="1" x14ac:dyDescent="0.25">
      <c r="A15" s="61" t="s">
        <v>18</v>
      </c>
      <c r="B15" s="62">
        <v>12</v>
      </c>
      <c r="C15" s="63">
        <v>15</v>
      </c>
      <c r="D15" s="62">
        <v>18</v>
      </c>
      <c r="E15" s="63">
        <v>21</v>
      </c>
      <c r="F15" s="62">
        <v>24</v>
      </c>
      <c r="G15" s="63">
        <v>27</v>
      </c>
      <c r="H15" s="62">
        <v>30</v>
      </c>
      <c r="I15" s="63">
        <v>33</v>
      </c>
      <c r="J15" s="62">
        <v>36</v>
      </c>
      <c r="K15" s="63">
        <v>40</v>
      </c>
      <c r="L15" s="221" t="s">
        <v>16</v>
      </c>
    </row>
    <row r="16" spans="1:26" ht="12" thickBot="1" x14ac:dyDescent="0.25">
      <c r="A16" s="64" t="s">
        <v>12</v>
      </c>
      <c r="B16" s="65">
        <v>40</v>
      </c>
      <c r="C16" s="66">
        <v>50</v>
      </c>
      <c r="D16" s="65">
        <v>60</v>
      </c>
      <c r="E16" s="66">
        <v>70</v>
      </c>
      <c r="F16" s="65">
        <v>80</v>
      </c>
      <c r="G16" s="66">
        <v>90</v>
      </c>
      <c r="H16" s="65">
        <v>100</v>
      </c>
      <c r="I16" s="66">
        <v>110</v>
      </c>
      <c r="J16" s="65">
        <v>120</v>
      </c>
      <c r="K16" s="66">
        <v>130</v>
      </c>
      <c r="L16" s="216"/>
      <c r="O16" s="44" t="s">
        <v>0</v>
      </c>
      <c r="P16" s="23" t="s">
        <v>1</v>
      </c>
      <c r="Q16" s="5" t="s">
        <v>2</v>
      </c>
      <c r="R16" s="23" t="s">
        <v>3</v>
      </c>
      <c r="S16" s="5" t="s">
        <v>4</v>
      </c>
      <c r="T16" s="23" t="s">
        <v>5</v>
      </c>
      <c r="U16" s="5" t="s">
        <v>6</v>
      </c>
      <c r="V16" s="23" t="s">
        <v>7</v>
      </c>
      <c r="W16" s="5" t="s">
        <v>8</v>
      </c>
      <c r="X16" s="23" t="s">
        <v>9</v>
      </c>
      <c r="Y16" s="5" t="s">
        <v>10</v>
      </c>
      <c r="Z16" s="28" t="s">
        <v>11</v>
      </c>
    </row>
    <row r="17" spans="2:26" x14ac:dyDescent="0.2">
      <c r="B17" s="67">
        <v>7</v>
      </c>
      <c r="C17" s="68">
        <v>6</v>
      </c>
      <c r="D17" s="69">
        <v>5</v>
      </c>
      <c r="E17" s="68">
        <v>4</v>
      </c>
      <c r="F17" s="69">
        <v>4</v>
      </c>
      <c r="G17" s="68">
        <v>3</v>
      </c>
      <c r="H17" s="69">
        <v>3</v>
      </c>
      <c r="I17" s="68">
        <v>3</v>
      </c>
      <c r="J17" s="69">
        <v>3</v>
      </c>
      <c r="K17" s="68">
        <v>3</v>
      </c>
      <c r="L17" s="215" t="s">
        <v>0</v>
      </c>
      <c r="M17" s="70"/>
      <c r="N17" s="71"/>
      <c r="O17" s="72">
        <v>1</v>
      </c>
      <c r="P17" s="73">
        <v>1</v>
      </c>
      <c r="Q17" s="72">
        <v>1</v>
      </c>
      <c r="R17" s="73">
        <v>1</v>
      </c>
      <c r="S17" s="72">
        <v>1</v>
      </c>
      <c r="T17" s="73">
        <v>1</v>
      </c>
      <c r="U17" s="72">
        <v>1</v>
      </c>
      <c r="V17" s="73">
        <v>1</v>
      </c>
      <c r="W17" s="72">
        <v>1</v>
      </c>
      <c r="X17" s="73">
        <v>1</v>
      </c>
      <c r="Y17" s="72">
        <v>1</v>
      </c>
      <c r="Z17" s="74">
        <v>1</v>
      </c>
    </row>
    <row r="18" spans="2:26" ht="12" thickBot="1" x14ac:dyDescent="0.25">
      <c r="B18" s="75">
        <v>123</v>
      </c>
      <c r="C18" s="76">
        <v>74</v>
      </c>
      <c r="D18" s="77">
        <v>50</v>
      </c>
      <c r="E18" s="76">
        <v>41</v>
      </c>
      <c r="F18" s="77">
        <v>31</v>
      </c>
      <c r="G18" s="76">
        <v>22</v>
      </c>
      <c r="H18" s="77">
        <v>19</v>
      </c>
      <c r="I18" s="76">
        <v>12</v>
      </c>
      <c r="J18" s="77">
        <v>9</v>
      </c>
      <c r="K18" s="76">
        <v>5</v>
      </c>
      <c r="L18" s="216"/>
      <c r="M18" s="78"/>
      <c r="N18" s="79"/>
      <c r="O18" s="80">
        <v>6.9444444444444441E-3</v>
      </c>
      <c r="P18" s="81">
        <v>0.13958333333333334</v>
      </c>
      <c r="Q18" s="80">
        <v>0.2013888888888889</v>
      </c>
      <c r="R18" s="81">
        <v>0.24236111111111111</v>
      </c>
      <c r="S18" s="80">
        <v>0.27430555555555558</v>
      </c>
      <c r="T18" s="81">
        <v>0.29583333333333334</v>
      </c>
      <c r="U18" s="80">
        <v>0.31666666666666665</v>
      </c>
      <c r="V18" s="81">
        <v>0.33333333333333331</v>
      </c>
      <c r="W18" s="80">
        <v>0.34861111111111109</v>
      </c>
      <c r="X18" s="81">
        <v>0.36875000000000002</v>
      </c>
      <c r="Y18" s="80">
        <v>0.37430555555555556</v>
      </c>
      <c r="Z18" s="82">
        <v>0.3840277777777778</v>
      </c>
    </row>
    <row r="19" spans="2:26" x14ac:dyDescent="0.2">
      <c r="B19" s="67">
        <v>17</v>
      </c>
      <c r="C19" s="68">
        <v>13</v>
      </c>
      <c r="D19" s="69">
        <v>11</v>
      </c>
      <c r="E19" s="68">
        <v>9</v>
      </c>
      <c r="F19" s="69">
        <v>8</v>
      </c>
      <c r="G19" s="68">
        <v>7</v>
      </c>
      <c r="H19" s="69">
        <v>7</v>
      </c>
      <c r="I19" s="68">
        <v>6</v>
      </c>
      <c r="J19" s="69">
        <v>6</v>
      </c>
      <c r="K19" s="68">
        <v>6</v>
      </c>
      <c r="L19" s="215" t="s">
        <v>1</v>
      </c>
      <c r="M19" s="70"/>
      <c r="N19" s="70"/>
      <c r="O19" s="83"/>
      <c r="P19" s="84">
        <v>0.1388888888888889</v>
      </c>
      <c r="Q19" s="85">
        <v>0.20069444444444445</v>
      </c>
      <c r="R19" s="84">
        <v>0.24166666666666667</v>
      </c>
      <c r="S19" s="85">
        <v>0.27361111111111114</v>
      </c>
      <c r="T19" s="84">
        <v>0.2951388888888889</v>
      </c>
      <c r="U19" s="85">
        <v>0.31597222222222221</v>
      </c>
      <c r="V19" s="84">
        <v>0.33263888888888887</v>
      </c>
      <c r="W19" s="85">
        <v>0.34791666666666665</v>
      </c>
      <c r="X19" s="84">
        <v>0.36805555555555558</v>
      </c>
      <c r="Y19" s="85">
        <v>0.37361111111111112</v>
      </c>
      <c r="Z19" s="86">
        <v>0.38333333333333336</v>
      </c>
    </row>
    <row r="20" spans="2:26" ht="12" thickBot="1" x14ac:dyDescent="0.25">
      <c r="B20" s="75">
        <v>113</v>
      </c>
      <c r="C20" s="76">
        <v>67</v>
      </c>
      <c r="D20" s="77">
        <v>44</v>
      </c>
      <c r="E20" s="76">
        <v>36</v>
      </c>
      <c r="F20" s="77">
        <v>27</v>
      </c>
      <c r="G20" s="76">
        <v>18</v>
      </c>
      <c r="H20" s="77">
        <v>15</v>
      </c>
      <c r="I20" s="76">
        <v>9</v>
      </c>
      <c r="J20" s="77">
        <v>6</v>
      </c>
      <c r="K20" s="87"/>
      <c r="L20" s="216"/>
      <c r="M20" s="78"/>
      <c r="N20" s="78"/>
      <c r="O20" s="88"/>
      <c r="P20" s="81">
        <v>6.9444444444444441E-3</v>
      </c>
      <c r="Q20" s="80">
        <v>6.9444444444444448E-2</v>
      </c>
      <c r="R20" s="81">
        <v>0.11041666666666666</v>
      </c>
      <c r="S20" s="80">
        <v>0.1423611111111111</v>
      </c>
      <c r="T20" s="81">
        <v>0.16527777777777777</v>
      </c>
      <c r="U20" s="80">
        <v>0.18472222222222223</v>
      </c>
      <c r="V20" s="81">
        <v>0.2013888888888889</v>
      </c>
      <c r="W20" s="80">
        <v>0.21736111111111112</v>
      </c>
      <c r="X20" s="81">
        <v>0.23680555555555555</v>
      </c>
      <c r="Y20" s="80">
        <v>0.24236111111111111</v>
      </c>
      <c r="Z20" s="82">
        <v>0.25208333333333333</v>
      </c>
    </row>
    <row r="21" spans="2:26" x14ac:dyDescent="0.2">
      <c r="B21" s="89">
        <v>25</v>
      </c>
      <c r="C21" s="90">
        <v>21</v>
      </c>
      <c r="D21" s="91">
        <v>17</v>
      </c>
      <c r="E21" s="90">
        <v>15</v>
      </c>
      <c r="F21" s="91">
        <v>13</v>
      </c>
      <c r="G21" s="196">
        <v>11</v>
      </c>
      <c r="H21" s="91">
        <v>10</v>
      </c>
      <c r="I21" s="90">
        <v>10</v>
      </c>
      <c r="J21" s="91">
        <v>9</v>
      </c>
      <c r="K21" s="90">
        <v>8</v>
      </c>
      <c r="L21" s="215" t="s">
        <v>2</v>
      </c>
      <c r="M21" s="70"/>
      <c r="N21" s="70"/>
      <c r="O21" s="92"/>
      <c r="P21" s="83"/>
      <c r="Q21" s="85">
        <v>6.8750000000000006E-2</v>
      </c>
      <c r="R21" s="84">
        <v>0.10972222222222222</v>
      </c>
      <c r="S21" s="85">
        <v>0.14166666666666666</v>
      </c>
      <c r="T21" s="84">
        <v>0.16458333333333333</v>
      </c>
      <c r="U21" s="85">
        <v>0.18402777777777779</v>
      </c>
      <c r="V21" s="84">
        <v>0.20069444444444445</v>
      </c>
      <c r="W21" s="85">
        <v>0.21666666666666667</v>
      </c>
      <c r="X21" s="84">
        <v>0.2361111111111111</v>
      </c>
      <c r="Y21" s="85">
        <v>0.24166666666666667</v>
      </c>
      <c r="Z21" s="86">
        <v>0.25138888888888888</v>
      </c>
    </row>
    <row r="22" spans="2:26" ht="12" thickBot="1" x14ac:dyDescent="0.25">
      <c r="B22" s="89">
        <v>105</v>
      </c>
      <c r="C22" s="96">
        <v>59</v>
      </c>
      <c r="D22" s="97">
        <v>38</v>
      </c>
      <c r="E22" s="96">
        <v>30</v>
      </c>
      <c r="F22" s="97">
        <v>22</v>
      </c>
      <c r="G22" s="197">
        <v>12</v>
      </c>
      <c r="H22" s="97">
        <v>12</v>
      </c>
      <c r="I22" s="96">
        <v>5</v>
      </c>
      <c r="J22" s="91"/>
      <c r="K22" s="90"/>
      <c r="L22" s="216"/>
      <c r="M22" s="78"/>
      <c r="N22" s="78"/>
      <c r="O22" s="93"/>
      <c r="P22" s="88"/>
      <c r="Q22" s="80">
        <v>6.9444444444444441E-3</v>
      </c>
      <c r="R22" s="81">
        <v>4.8611111111111112E-2</v>
      </c>
      <c r="S22" s="80">
        <v>8.1944444444444445E-2</v>
      </c>
      <c r="T22" s="81">
        <v>0.10347222222222222</v>
      </c>
      <c r="U22" s="80">
        <v>0.12430555555555556</v>
      </c>
      <c r="V22" s="81">
        <v>0.13958333333333334</v>
      </c>
      <c r="W22" s="80">
        <v>0.15555555555555556</v>
      </c>
      <c r="X22" s="81">
        <v>0.16875000000000001</v>
      </c>
      <c r="Y22" s="80">
        <v>0.18055555555555555</v>
      </c>
      <c r="Z22" s="82">
        <v>0.19166666666666668</v>
      </c>
    </row>
    <row r="23" spans="2:26" x14ac:dyDescent="0.2">
      <c r="B23" s="67">
        <v>37</v>
      </c>
      <c r="C23" s="68">
        <v>29</v>
      </c>
      <c r="D23" s="69">
        <v>24</v>
      </c>
      <c r="E23" s="68">
        <v>20</v>
      </c>
      <c r="F23" s="69">
        <v>18</v>
      </c>
      <c r="G23" s="68">
        <v>16</v>
      </c>
      <c r="H23" s="69">
        <v>14</v>
      </c>
      <c r="I23" s="68">
        <v>13</v>
      </c>
      <c r="J23" s="69">
        <v>12</v>
      </c>
      <c r="K23" s="68">
        <v>11</v>
      </c>
      <c r="L23" s="215" t="s">
        <v>3</v>
      </c>
      <c r="M23" s="70"/>
      <c r="N23" s="70"/>
      <c r="O23" s="92"/>
      <c r="P23" s="92"/>
      <c r="Q23" s="83"/>
      <c r="R23" s="84">
        <v>4.791666666666667E-2</v>
      </c>
      <c r="S23" s="85">
        <v>8.1250000000000003E-2</v>
      </c>
      <c r="T23" s="84">
        <v>0.10277777777777777</v>
      </c>
      <c r="U23" s="85">
        <v>0.12361111111111112</v>
      </c>
      <c r="V23" s="84">
        <v>0.1388888888888889</v>
      </c>
      <c r="W23" s="85">
        <v>0.15486111111111112</v>
      </c>
      <c r="X23" s="84">
        <v>0.16805555555555557</v>
      </c>
      <c r="Y23" s="85">
        <v>0.17986111111111111</v>
      </c>
      <c r="Z23" s="86">
        <v>0.19097222222222221</v>
      </c>
    </row>
    <row r="24" spans="2:26" ht="12" thickBot="1" x14ac:dyDescent="0.25">
      <c r="B24" s="75">
        <v>93</v>
      </c>
      <c r="C24" s="76">
        <v>51</v>
      </c>
      <c r="D24" s="77">
        <v>31</v>
      </c>
      <c r="E24" s="76">
        <v>25</v>
      </c>
      <c r="F24" s="77">
        <v>17</v>
      </c>
      <c r="G24" s="76">
        <v>9</v>
      </c>
      <c r="H24" s="77">
        <v>8</v>
      </c>
      <c r="I24" s="87"/>
      <c r="J24" s="94"/>
      <c r="K24" s="87"/>
      <c r="L24" s="216"/>
      <c r="M24" s="78"/>
      <c r="N24" s="78"/>
      <c r="O24" s="93"/>
      <c r="P24" s="93"/>
      <c r="Q24" s="88"/>
      <c r="R24" s="81">
        <v>6.9444444444444441E-3</v>
      </c>
      <c r="S24" s="80">
        <v>3.8194444444444448E-2</v>
      </c>
      <c r="T24" s="81">
        <v>6.25E-2</v>
      </c>
      <c r="U24" s="80">
        <v>8.3333333333333329E-2</v>
      </c>
      <c r="V24" s="81">
        <v>0.1</v>
      </c>
      <c r="W24" s="80">
        <v>0.11458333333333333</v>
      </c>
      <c r="X24" s="81">
        <v>0.12847222222222221</v>
      </c>
      <c r="Y24" s="80">
        <v>0.14027777777777778</v>
      </c>
      <c r="Z24" s="82">
        <v>0.15069444444444444</v>
      </c>
    </row>
    <row r="25" spans="2:26" x14ac:dyDescent="0.2">
      <c r="B25" s="89">
        <v>49</v>
      </c>
      <c r="C25" s="90">
        <v>38</v>
      </c>
      <c r="D25" s="91">
        <v>30</v>
      </c>
      <c r="E25" s="90">
        <v>26</v>
      </c>
      <c r="F25" s="91">
        <v>23</v>
      </c>
      <c r="G25" s="90">
        <v>20</v>
      </c>
      <c r="H25" s="91">
        <v>18</v>
      </c>
      <c r="I25" s="90">
        <v>16</v>
      </c>
      <c r="J25" s="91">
        <v>15</v>
      </c>
      <c r="K25" s="90">
        <v>13</v>
      </c>
      <c r="L25" s="215" t="s">
        <v>4</v>
      </c>
      <c r="M25" s="70"/>
      <c r="N25" s="70"/>
      <c r="O25" s="92"/>
      <c r="P25" s="92"/>
      <c r="Q25" s="92"/>
      <c r="R25" s="83"/>
      <c r="S25" s="85">
        <v>3.7499999999999999E-2</v>
      </c>
      <c r="T25" s="84">
        <v>6.1805555555555558E-2</v>
      </c>
      <c r="U25" s="85">
        <v>8.2638888888888887E-2</v>
      </c>
      <c r="V25" s="84">
        <v>9.930555555555555E-2</v>
      </c>
      <c r="W25" s="85">
        <v>0.11388888888888889</v>
      </c>
      <c r="X25" s="84">
        <v>0.12777777777777777</v>
      </c>
      <c r="Y25" s="85">
        <v>0.13958333333333334</v>
      </c>
      <c r="Z25" s="86">
        <v>0.15</v>
      </c>
    </row>
    <row r="26" spans="2:26" ht="12" thickBot="1" x14ac:dyDescent="0.25">
      <c r="B26" s="89">
        <v>81</v>
      </c>
      <c r="C26" s="90">
        <v>42</v>
      </c>
      <c r="D26" s="91">
        <v>25</v>
      </c>
      <c r="E26" s="90">
        <v>19</v>
      </c>
      <c r="F26" s="91">
        <v>12</v>
      </c>
      <c r="G26" s="90">
        <v>5</v>
      </c>
      <c r="H26" s="91">
        <v>4</v>
      </c>
      <c r="I26" s="90"/>
      <c r="J26" s="91"/>
      <c r="K26" s="90"/>
      <c r="L26" s="216"/>
      <c r="M26" s="78"/>
      <c r="N26" s="78"/>
      <c r="O26" s="93"/>
      <c r="P26" s="93"/>
      <c r="Q26" s="93"/>
      <c r="R26" s="88"/>
      <c r="S26" s="80">
        <v>6.9444444444444441E-3</v>
      </c>
      <c r="T26" s="81">
        <v>3.1944444444444442E-2</v>
      </c>
      <c r="U26" s="80">
        <v>5.2777777777777778E-2</v>
      </c>
      <c r="V26" s="81">
        <v>7.0833333333333331E-2</v>
      </c>
      <c r="W26" s="80">
        <v>8.5416666666666669E-2</v>
      </c>
      <c r="X26" s="81">
        <v>9.7916666666666666E-2</v>
      </c>
      <c r="Y26" s="80">
        <v>0.11041666666666666</v>
      </c>
      <c r="Z26" s="82">
        <v>0.12083333333333333</v>
      </c>
    </row>
    <row r="27" spans="2:26" x14ac:dyDescent="0.2">
      <c r="B27" s="67">
        <v>61</v>
      </c>
      <c r="C27" s="68">
        <v>47</v>
      </c>
      <c r="D27" s="69">
        <v>36</v>
      </c>
      <c r="E27" s="68">
        <v>31</v>
      </c>
      <c r="F27" s="69">
        <v>28</v>
      </c>
      <c r="G27" s="68">
        <v>24</v>
      </c>
      <c r="H27" s="69">
        <v>22</v>
      </c>
      <c r="I27" s="68">
        <v>20</v>
      </c>
      <c r="J27" s="69">
        <v>18</v>
      </c>
      <c r="K27" s="68">
        <v>16</v>
      </c>
      <c r="L27" s="215" t="s">
        <v>5</v>
      </c>
      <c r="M27" s="70"/>
      <c r="N27" s="70"/>
      <c r="O27" s="92"/>
      <c r="P27" s="92"/>
      <c r="Q27" s="92"/>
      <c r="R27" s="92"/>
      <c r="S27" s="83"/>
      <c r="T27" s="84">
        <v>3.125E-2</v>
      </c>
      <c r="U27" s="85">
        <v>5.2083333333333336E-2</v>
      </c>
      <c r="V27" s="84">
        <v>7.013888888888889E-2</v>
      </c>
      <c r="W27" s="85">
        <v>8.4722222222222227E-2</v>
      </c>
      <c r="X27" s="84">
        <v>9.7222222222222224E-2</v>
      </c>
      <c r="Y27" s="85">
        <v>0.10972222222222222</v>
      </c>
      <c r="Z27" s="86">
        <v>0.12013888888888889</v>
      </c>
    </row>
    <row r="28" spans="2:26" ht="12" thickBot="1" x14ac:dyDescent="0.25">
      <c r="B28" s="75">
        <v>69</v>
      </c>
      <c r="C28" s="76">
        <v>33</v>
      </c>
      <c r="D28" s="77">
        <v>19</v>
      </c>
      <c r="E28" s="76">
        <v>14</v>
      </c>
      <c r="F28" s="77">
        <v>7</v>
      </c>
      <c r="G28" s="87"/>
      <c r="H28" s="94"/>
      <c r="I28" s="87"/>
      <c r="J28" s="94"/>
      <c r="K28" s="87"/>
      <c r="L28" s="216"/>
      <c r="M28" s="78"/>
      <c r="N28" s="78"/>
      <c r="O28" s="93"/>
      <c r="P28" s="93"/>
      <c r="Q28" s="93"/>
      <c r="R28" s="93"/>
      <c r="S28" s="88"/>
      <c r="T28" s="81">
        <v>6.9444444444444441E-3</v>
      </c>
      <c r="U28" s="80">
        <v>2.8472222222222222E-2</v>
      </c>
      <c r="V28" s="81">
        <v>4.6527777777777779E-2</v>
      </c>
      <c r="W28" s="80">
        <v>6.25E-2</v>
      </c>
      <c r="X28" s="81">
        <v>7.4999999999999997E-2</v>
      </c>
      <c r="Y28" s="80">
        <v>8.611111111111111E-2</v>
      </c>
      <c r="Z28" s="82">
        <v>9.7222222222222224E-2</v>
      </c>
    </row>
    <row r="29" spans="2:26" x14ac:dyDescent="0.2">
      <c r="B29" s="89">
        <v>73</v>
      </c>
      <c r="C29" s="90">
        <v>56</v>
      </c>
      <c r="D29" s="91">
        <v>44</v>
      </c>
      <c r="E29" s="90">
        <v>37</v>
      </c>
      <c r="F29" s="91">
        <v>32</v>
      </c>
      <c r="G29" s="90">
        <v>29</v>
      </c>
      <c r="H29" s="91">
        <v>26</v>
      </c>
      <c r="I29" s="90">
        <v>24</v>
      </c>
      <c r="J29" s="91">
        <v>21</v>
      </c>
      <c r="K29" s="90">
        <v>19</v>
      </c>
      <c r="L29" s="215" t="s">
        <v>6</v>
      </c>
      <c r="M29" s="70"/>
      <c r="N29" s="70"/>
      <c r="O29" s="70"/>
      <c r="P29" s="70"/>
      <c r="Q29" s="70"/>
      <c r="R29" s="70"/>
      <c r="S29" s="70"/>
      <c r="T29" s="71"/>
      <c r="U29" s="85">
        <v>2.7777777777777776E-2</v>
      </c>
      <c r="V29" s="84">
        <v>4.583333333333333E-2</v>
      </c>
      <c r="W29" s="85">
        <v>6.1805555555555558E-2</v>
      </c>
      <c r="X29" s="84">
        <v>7.4305555555555555E-2</v>
      </c>
      <c r="Y29" s="85">
        <v>8.5416666666666669E-2</v>
      </c>
      <c r="Z29" s="86">
        <v>9.6527777777777782E-2</v>
      </c>
    </row>
    <row r="30" spans="2:26" ht="12" thickBot="1" x14ac:dyDescent="0.25">
      <c r="B30" s="95">
        <v>57</v>
      </c>
      <c r="C30" s="96">
        <v>24</v>
      </c>
      <c r="D30" s="97">
        <v>11</v>
      </c>
      <c r="E30" s="96">
        <v>8</v>
      </c>
      <c r="F30" s="91"/>
      <c r="G30" s="90"/>
      <c r="H30" s="91"/>
      <c r="I30" s="90"/>
      <c r="J30" s="91"/>
      <c r="K30" s="90"/>
      <c r="L30" s="216"/>
      <c r="M30" s="78"/>
      <c r="N30" s="78"/>
      <c r="O30" s="78"/>
      <c r="P30" s="78"/>
      <c r="Q30" s="78"/>
      <c r="R30" s="78"/>
      <c r="S30" s="78"/>
      <c r="T30" s="79"/>
      <c r="U30" s="80">
        <v>6.9444444444444441E-3</v>
      </c>
      <c r="V30" s="81">
        <v>2.5694444444444443E-2</v>
      </c>
      <c r="W30" s="80">
        <v>4.1666666666666664E-2</v>
      </c>
      <c r="X30" s="81">
        <v>5.5555555555555552E-2</v>
      </c>
      <c r="Y30" s="80">
        <v>6.6666666666666666E-2</v>
      </c>
      <c r="Z30" s="82">
        <v>7.6388888888888895E-2</v>
      </c>
    </row>
    <row r="31" spans="2:26" x14ac:dyDescent="0.2">
      <c r="B31" s="67">
        <v>87</v>
      </c>
      <c r="C31" s="68">
        <v>66</v>
      </c>
      <c r="D31" s="69">
        <v>52</v>
      </c>
      <c r="E31" s="68">
        <v>43</v>
      </c>
      <c r="F31" s="69">
        <v>38</v>
      </c>
      <c r="G31" s="68">
        <v>33</v>
      </c>
      <c r="H31" s="69">
        <v>30</v>
      </c>
      <c r="I31" s="68">
        <v>27</v>
      </c>
      <c r="J31" s="69">
        <v>25</v>
      </c>
      <c r="K31" s="68">
        <v>22</v>
      </c>
      <c r="L31" s="215" t="s">
        <v>7</v>
      </c>
      <c r="M31" s="70"/>
      <c r="N31" s="70"/>
      <c r="O31" s="70"/>
      <c r="P31" s="70"/>
      <c r="Q31" s="70"/>
      <c r="R31" s="70"/>
      <c r="S31" s="70"/>
      <c r="T31" s="70"/>
      <c r="U31" s="71"/>
      <c r="V31" s="84">
        <v>2.5000000000000001E-2</v>
      </c>
      <c r="W31" s="85">
        <v>4.0972222222222222E-2</v>
      </c>
      <c r="X31" s="84">
        <v>5.486111111111111E-2</v>
      </c>
      <c r="Y31" s="85">
        <v>6.5972222222222224E-2</v>
      </c>
      <c r="Z31" s="86">
        <v>7.5694444444444439E-2</v>
      </c>
    </row>
    <row r="32" spans="2:26" ht="12" thickBot="1" x14ac:dyDescent="0.25">
      <c r="B32" s="75">
        <v>43</v>
      </c>
      <c r="C32" s="76">
        <v>14</v>
      </c>
      <c r="D32" s="94"/>
      <c r="E32" s="87"/>
      <c r="F32" s="94"/>
      <c r="G32" s="87"/>
      <c r="H32" s="94"/>
      <c r="I32" s="87"/>
      <c r="J32" s="94"/>
      <c r="K32" s="87"/>
      <c r="L32" s="216"/>
      <c r="M32" s="78"/>
      <c r="N32" s="78"/>
      <c r="O32" s="78"/>
      <c r="P32" s="78"/>
      <c r="Q32" s="78"/>
      <c r="R32" s="78"/>
      <c r="S32" s="78"/>
      <c r="T32" s="78"/>
      <c r="U32" s="79"/>
      <c r="V32" s="81">
        <v>6.9444444444444441E-3</v>
      </c>
      <c r="W32" s="80">
        <v>2.361111111111111E-2</v>
      </c>
      <c r="X32" s="81">
        <v>3.8194444444444448E-2</v>
      </c>
      <c r="Y32" s="80">
        <v>0.05</v>
      </c>
      <c r="Z32" s="82">
        <v>5.9722222222222225E-2</v>
      </c>
    </row>
    <row r="33" spans="2:26" x14ac:dyDescent="0.2">
      <c r="B33" s="89">
        <v>101</v>
      </c>
      <c r="C33" s="90">
        <v>76</v>
      </c>
      <c r="D33" s="91">
        <v>61</v>
      </c>
      <c r="E33" s="90">
        <v>50</v>
      </c>
      <c r="F33" s="91">
        <v>43</v>
      </c>
      <c r="G33" s="90">
        <v>38</v>
      </c>
      <c r="H33" s="91">
        <v>34</v>
      </c>
      <c r="I33" s="90">
        <v>31</v>
      </c>
      <c r="J33" s="91">
        <v>28</v>
      </c>
      <c r="K33" s="90">
        <v>25</v>
      </c>
      <c r="L33" s="215" t="s">
        <v>8</v>
      </c>
      <c r="M33" s="70"/>
      <c r="N33" s="70"/>
      <c r="O33" s="70"/>
      <c r="P33" s="70"/>
      <c r="Q33" s="70"/>
      <c r="R33" s="70"/>
      <c r="S33" s="70"/>
      <c r="T33" s="70"/>
      <c r="U33" s="70"/>
      <c r="V33" s="71"/>
      <c r="W33" s="85">
        <v>2.2916666666666665E-2</v>
      </c>
      <c r="X33" s="84">
        <v>3.7499999999999999E-2</v>
      </c>
      <c r="Y33" s="85">
        <v>4.9305555555555554E-2</v>
      </c>
      <c r="Z33" s="86">
        <v>5.9027777777777776E-2</v>
      </c>
    </row>
    <row r="34" spans="2:26" ht="12" thickBot="1" x14ac:dyDescent="0.25">
      <c r="B34" s="95">
        <v>29</v>
      </c>
      <c r="C34" s="96">
        <v>4</v>
      </c>
      <c r="D34" s="91"/>
      <c r="E34" s="90"/>
      <c r="F34" s="91"/>
      <c r="G34" s="90"/>
      <c r="H34" s="91"/>
      <c r="I34" s="90"/>
      <c r="J34" s="91"/>
      <c r="K34" s="90"/>
      <c r="L34" s="216"/>
      <c r="M34" s="78"/>
      <c r="N34" s="78"/>
      <c r="O34" s="78"/>
      <c r="P34" s="78"/>
      <c r="Q34" s="78"/>
      <c r="R34" s="78"/>
      <c r="S34" s="78"/>
      <c r="T34" s="78"/>
      <c r="U34" s="78"/>
      <c r="V34" s="79"/>
      <c r="W34" s="80">
        <v>6.9444444444444441E-3</v>
      </c>
      <c r="X34" s="81">
        <v>2.2222222222222223E-2</v>
      </c>
      <c r="Y34" s="80">
        <v>3.4722222222222224E-2</v>
      </c>
      <c r="Z34" s="82">
        <v>4.5138888888888888E-2</v>
      </c>
    </row>
    <row r="35" spans="2:26" x14ac:dyDescent="0.2">
      <c r="B35" s="67">
        <v>116</v>
      </c>
      <c r="C35" s="68">
        <v>87</v>
      </c>
      <c r="D35" s="69">
        <v>70</v>
      </c>
      <c r="E35" s="68">
        <v>57</v>
      </c>
      <c r="F35" s="69">
        <v>48</v>
      </c>
      <c r="G35" s="68">
        <v>43</v>
      </c>
      <c r="H35" s="69">
        <v>38</v>
      </c>
      <c r="I35" s="222" t="s">
        <v>17</v>
      </c>
      <c r="J35" s="223"/>
      <c r="K35" s="224"/>
      <c r="L35" s="215" t="s">
        <v>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1"/>
      <c r="X35" s="84">
        <v>2.1527777777777778E-2</v>
      </c>
      <c r="Y35" s="85">
        <v>3.4027777777777775E-2</v>
      </c>
      <c r="Z35" s="86">
        <v>4.4444444444444446E-2</v>
      </c>
    </row>
    <row r="36" spans="2:26" ht="12" thickBot="1" x14ac:dyDescent="0.25">
      <c r="B36" s="75">
        <v>14</v>
      </c>
      <c r="C36" s="87"/>
      <c r="D36" s="94"/>
      <c r="E36" s="87"/>
      <c r="F36" s="94"/>
      <c r="G36" s="87"/>
      <c r="H36" s="94"/>
      <c r="I36" s="225"/>
      <c r="J36" s="226"/>
      <c r="K36" s="227"/>
      <c r="L36" s="216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9"/>
      <c r="X36" s="81">
        <v>6.9444444444444441E-3</v>
      </c>
      <c r="Y36" s="80">
        <v>2.013888888888889E-2</v>
      </c>
      <c r="Z36" s="82">
        <v>3.1944444444444442E-2</v>
      </c>
    </row>
    <row r="37" spans="2:26" x14ac:dyDescent="0.2">
      <c r="B37" s="67">
        <v>138</v>
      </c>
      <c r="C37" s="68">
        <v>99</v>
      </c>
      <c r="D37" s="69">
        <v>79</v>
      </c>
      <c r="E37" s="68">
        <v>64</v>
      </c>
      <c r="F37" s="69">
        <v>54</v>
      </c>
      <c r="G37" s="68">
        <v>47</v>
      </c>
      <c r="H37" s="69"/>
      <c r="I37" s="225"/>
      <c r="J37" s="226"/>
      <c r="K37" s="227"/>
      <c r="L37" s="215" t="s">
        <v>10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1"/>
      <c r="Y37" s="85">
        <v>1.9444444444444445E-2</v>
      </c>
      <c r="Z37" s="86">
        <v>3.125E-2</v>
      </c>
    </row>
    <row r="38" spans="2:26" ht="12" thickBot="1" x14ac:dyDescent="0.25">
      <c r="B38" s="98"/>
      <c r="C38" s="87"/>
      <c r="D38" s="94"/>
      <c r="E38" s="87"/>
      <c r="F38" s="94"/>
      <c r="G38" s="87"/>
      <c r="H38" s="94"/>
      <c r="I38" s="225"/>
      <c r="J38" s="226"/>
      <c r="K38" s="227"/>
      <c r="L38" s="216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9"/>
      <c r="Y38" s="80">
        <v>6.9444444444444441E-3</v>
      </c>
      <c r="Z38" s="82">
        <v>1.8749999999999999E-2</v>
      </c>
    </row>
    <row r="39" spans="2:26" x14ac:dyDescent="0.2">
      <c r="B39" s="67">
        <v>161</v>
      </c>
      <c r="C39" s="68">
        <v>111</v>
      </c>
      <c r="D39" s="69">
        <v>88</v>
      </c>
      <c r="E39" s="68">
        <v>72</v>
      </c>
      <c r="F39" s="69">
        <v>61</v>
      </c>
      <c r="G39" s="68">
        <v>53</v>
      </c>
      <c r="H39" s="69"/>
      <c r="I39" s="225"/>
      <c r="J39" s="226"/>
      <c r="K39" s="227"/>
      <c r="L39" s="215" t="s">
        <v>11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1"/>
      <c r="Z39" s="86">
        <v>1.8055555555555554E-2</v>
      </c>
    </row>
    <row r="40" spans="2:26" ht="12" thickBot="1" x14ac:dyDescent="0.25">
      <c r="B40" s="98"/>
      <c r="C40" s="87"/>
      <c r="D40" s="94"/>
      <c r="E40" s="87"/>
      <c r="F40" s="94"/>
      <c r="G40" s="87"/>
      <c r="H40" s="94"/>
      <c r="I40" s="228"/>
      <c r="J40" s="229"/>
      <c r="K40" s="230"/>
      <c r="L40" s="216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9"/>
      <c r="Z40" s="82">
        <v>6.9444444444444441E-3</v>
      </c>
    </row>
    <row r="41" spans="2:26" x14ac:dyDescent="0.2">
      <c r="B41" s="49" t="s">
        <v>50</v>
      </c>
      <c r="M41" s="49" t="s">
        <v>47</v>
      </c>
      <c r="N41" s="49"/>
      <c r="O41" s="49"/>
      <c r="P41" s="49"/>
      <c r="Q41" s="49"/>
      <c r="R41" s="49" t="s">
        <v>49</v>
      </c>
      <c r="S41" s="49"/>
      <c r="T41" s="49"/>
      <c r="U41" s="49"/>
      <c r="V41" s="99" t="s">
        <v>48</v>
      </c>
      <c r="W41" s="49"/>
      <c r="X41" s="49"/>
      <c r="Y41" s="49"/>
      <c r="Z41" s="49"/>
    </row>
  </sheetData>
  <sheetProtection algorithmName="SHA-512" hashValue="mzMlCCroAzqweK1VKH6umOzjpAqhrh+KdWjKdTToIWFQfbukxbdDr/gZVCSMjxr6k/jDQk1hFtd0Td3GVixxMg==" saltValue="D5lbUtptSdPAstKQkFWg7w==" spinCount="100000" sheet="1" objects="1" scenarios="1"/>
  <mergeCells count="18">
    <mergeCell ref="L37:L38"/>
    <mergeCell ref="L39:L40"/>
    <mergeCell ref="L15:L16"/>
    <mergeCell ref="I35:K40"/>
    <mergeCell ref="R1:R2"/>
    <mergeCell ref="L33:L34"/>
    <mergeCell ref="L35:L36"/>
    <mergeCell ref="U1:U2"/>
    <mergeCell ref="L25:L26"/>
    <mergeCell ref="L27:L28"/>
    <mergeCell ref="L29:L30"/>
    <mergeCell ref="L31:L32"/>
    <mergeCell ref="M3:N3"/>
    <mergeCell ref="O3:Z3"/>
    <mergeCell ref="L17:L18"/>
    <mergeCell ref="L19:L20"/>
    <mergeCell ref="L21:L22"/>
    <mergeCell ref="L23:L24"/>
  </mergeCells>
  <pageMargins left="0.25" right="0.25" top="0.75" bottom="0.75" header="0.3" footer="0.3"/>
  <pageSetup paperSize="9" orientation="landscape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22893FE-0028-45BA-B18C-6EEA2F6AA678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4RedToBlack" iconId="3"/>
              <x14:cfIcon iconSet="4RedToBlack" iconId="3"/>
            </x14:iconSet>
          </x14:cfRule>
          <xm:sqref>R1:R2</xm:sqref>
        </x14:conditionalFormatting>
        <x14:conditionalFormatting xmlns:xm="http://schemas.microsoft.com/office/excel/2006/main">
          <x14:cfRule type="iconSet" priority="4" id="{CD2A7194-3245-4FDA-BD90-C2C005ADB470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afficLights1" iconId="0"/>
              <x14:cfIcon iconSet="4RedToBlack" iconId="3"/>
              <x14:cfIcon iconSet="4RedToBlack" iconId="3"/>
            </x14:iconSet>
          </x14:cfRule>
          <xm:sqref>Y5 X6 W7:W8 V9 U10:U11 T12 S13 R14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17FB8A-E1C4-46F6-A235-92AA618530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Print log</vt:lpstr>
      <vt:lpstr>NAUI Tables</vt:lpstr>
      <vt:lpstr>'NAUI Tables'!Print_Area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Walles</dc:creator>
  <cp:lastModifiedBy>Anton Walles</cp:lastModifiedBy>
  <cp:lastPrinted>2026-09-30T09:13:40Z</cp:lastPrinted>
  <dcterms:created xsi:type="dcterms:W3CDTF">2026-09-22T15:09:44Z</dcterms:created>
  <dcterms:modified xsi:type="dcterms:W3CDTF">2026-09-30T09:30:25Z</dcterms:modified>
</cp:coreProperties>
</file>